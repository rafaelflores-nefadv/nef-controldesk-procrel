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confederacaosicredi-my.sharepoint.com/personal/mateus_dornelas_sicredi_com_br/Documents/Nabarrete - Provisório/Borderô Faturamento/12 - Dezembro/"/>
    </mc:Choice>
  </mc:AlternateContent>
  <xr:revisionPtr revIDLastSave="1" documentId="13_ncr:1_{5D87BDB3-01FC-42D3-BB76-9CE131E89EEB}" xr6:coauthVersionLast="47" xr6:coauthVersionMax="47" xr10:uidLastSave="{62AB522B-FA04-453A-8411-63B2F0FA6EC8}"/>
  <bookViews>
    <workbookView xWindow="28680" yWindow="-120" windowWidth="29040" windowHeight="15720" xr2:uid="{00000000-000D-0000-FFFF-FFFF00000000}"/>
  </bookViews>
  <sheets>
    <sheet name="Planilha2" sheetId="2" r:id="rId1"/>
  </sheets>
  <definedNames>
    <definedName name="_xlnm._FilterDatabase" localSheetId="0" hidden="1">Planilha2!$A$2:$K$177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3" i="2"/>
  <c r="G1" i="2"/>
</calcChain>
</file>

<file path=xl/sharedStrings.xml><?xml version="1.0" encoding="utf-8"?>
<sst xmlns="http://schemas.openxmlformats.org/spreadsheetml/2006/main" count="811" uniqueCount="651">
  <si>
    <t>Ag.</t>
  </si>
  <si>
    <t>Data Pagamento</t>
  </si>
  <si>
    <t>Conta</t>
  </si>
  <si>
    <t>Associado</t>
  </si>
  <si>
    <t>Título</t>
  </si>
  <si>
    <t>Parcela</t>
  </si>
  <si>
    <t>Valor Título</t>
  </si>
  <si>
    <t>Tipo Movimento</t>
  </si>
  <si>
    <t>Histórico</t>
  </si>
  <si>
    <t>CPF/CNPJ</t>
  </si>
  <si>
    <t>Atraso</t>
  </si>
  <si>
    <t>%</t>
  </si>
  <si>
    <t>R$</t>
  </si>
  <si>
    <t>96185-6</t>
  </si>
  <si>
    <t>COMO HAMBURGUERIA VALPARAISO LTDA</t>
  </si>
  <si>
    <t>C530300202</t>
  </si>
  <si>
    <t>2; 4</t>
  </si>
  <si>
    <t>51.919.575/0001-43</t>
  </si>
  <si>
    <t>35997-6</t>
  </si>
  <si>
    <t>HIAGO RAPHAEL BELO DE OLIVEIRA</t>
  </si>
  <si>
    <t>Cartão</t>
  </si>
  <si>
    <t>031.487.041-50</t>
  </si>
  <si>
    <t>18624-6</t>
  </si>
  <si>
    <t>GELIANE AUGUSTA CAIXETA DA SILVA SOUSA</t>
  </si>
  <si>
    <t>C432307598</t>
  </si>
  <si>
    <t>001.806.331-47</t>
  </si>
  <si>
    <t>20971-1</t>
  </si>
  <si>
    <t>JOSE ROBERTO HOLANDA DE OLIVEIRA</t>
  </si>
  <si>
    <t>584.108.641-34</t>
  </si>
  <si>
    <t>13123-5</t>
  </si>
  <si>
    <t>MAXIMUS CAMISARIA LTDA</t>
  </si>
  <si>
    <t>C418203330</t>
  </si>
  <si>
    <t>13.614.585/0001-81</t>
  </si>
  <si>
    <t>66392-3</t>
  </si>
  <si>
    <t>CINTIA LORANIA NEVES DO PRADO</t>
  </si>
  <si>
    <t>034.793.501-00</t>
  </si>
  <si>
    <t>03701-9</t>
  </si>
  <si>
    <t>GUILHERME DOS SANTOS DE CASTRO</t>
  </si>
  <si>
    <t>061.522.781-39</t>
  </si>
  <si>
    <t>86313-5</t>
  </si>
  <si>
    <t>SS DE BRITO CONSTRUCOES E ENGENHARIA LTDA</t>
  </si>
  <si>
    <t>36.380.283/0001-91</t>
  </si>
  <si>
    <t>19935-2</t>
  </si>
  <si>
    <t>VASCONCELOS INOX LTDA</t>
  </si>
  <si>
    <t>26.757.853/0001-66</t>
  </si>
  <si>
    <t>91746-1</t>
  </si>
  <si>
    <t>MR VERDURAS LTDA</t>
  </si>
  <si>
    <t>41.800.708/0001-04</t>
  </si>
  <si>
    <t>17914-2</t>
  </si>
  <si>
    <t>LORRANE OLIVEIRA ANDRADE FIUZA</t>
  </si>
  <si>
    <t>124.446.526-73</t>
  </si>
  <si>
    <t>58140-6</t>
  </si>
  <si>
    <t>AGROPOSSE POCOS ARTESIANOS LTDA</t>
  </si>
  <si>
    <t>48.417.453/0001-44</t>
  </si>
  <si>
    <t>86741-1</t>
  </si>
  <si>
    <t>DEUZEMI RODRIGUES MONTALVAO</t>
  </si>
  <si>
    <t>C311310270</t>
  </si>
  <si>
    <t>805.581.511-91</t>
  </si>
  <si>
    <t>43219-4</t>
  </si>
  <si>
    <t>CAMILA MARQUES DA SILVA</t>
  </si>
  <si>
    <t>049.380.083-27</t>
  </si>
  <si>
    <t>25085-1</t>
  </si>
  <si>
    <t>DANIELLE CHRISTIE LEAO DE SOUSA</t>
  </si>
  <si>
    <t>068.643.401-39</t>
  </si>
  <si>
    <t>28775-7</t>
  </si>
  <si>
    <t>HELEN CASSIA PEREIRA</t>
  </si>
  <si>
    <t>114.983.176-69</t>
  </si>
  <si>
    <t>08946-0</t>
  </si>
  <si>
    <t>RAFAEL RODRIGUES CORREA</t>
  </si>
  <si>
    <t>863.981.895-90</t>
  </si>
  <si>
    <t>00059-0</t>
  </si>
  <si>
    <t>RENATO ZOBOLI</t>
  </si>
  <si>
    <t>431.715.169-34</t>
  </si>
  <si>
    <t>60174-1</t>
  </si>
  <si>
    <t>ROGERIO RIBEIRO JUNIOR</t>
  </si>
  <si>
    <t>044.813.941-37</t>
  </si>
  <si>
    <t>21963-0</t>
  </si>
  <si>
    <t>VALDIRENE DA SILVA NEVES DA FROTA</t>
  </si>
  <si>
    <t>949.142.901-97</t>
  </si>
  <si>
    <t>31125-9</t>
  </si>
  <si>
    <t>ANDRE APOLONIO ALVES 59652748153</t>
  </si>
  <si>
    <t>48.665.661/0001-62</t>
  </si>
  <si>
    <t>59749-0</t>
  </si>
  <si>
    <t>COREAGRO COMERCIO E REPRESENTACOES LTDA</t>
  </si>
  <si>
    <t>C518313006</t>
  </si>
  <si>
    <t>31.505.983/0001-41</t>
  </si>
  <si>
    <t>62765-8</t>
  </si>
  <si>
    <t>JOSE CARLOS STADIKOWSKI</t>
  </si>
  <si>
    <t>C211312750</t>
  </si>
  <si>
    <t>021.725.659-70</t>
  </si>
  <si>
    <t>35068-4</t>
  </si>
  <si>
    <t>LUZIANO FERREIRA DE ARAUJO</t>
  </si>
  <si>
    <t>048.913.385-12</t>
  </si>
  <si>
    <t>76482-5</t>
  </si>
  <si>
    <t>FABIANA MARTARELLO MAURICIO</t>
  </si>
  <si>
    <t>C517300938</t>
  </si>
  <si>
    <t>026.796.189-80</t>
  </si>
  <si>
    <t>51049-7</t>
  </si>
  <si>
    <t>LEONARDO DA SILVA FERREIRA</t>
  </si>
  <si>
    <t>058.583.013-47</t>
  </si>
  <si>
    <t>29598-6</t>
  </si>
  <si>
    <t>WERLLINGTON LUCIO PEREIRA</t>
  </si>
  <si>
    <t>C527301007</t>
  </si>
  <si>
    <t>524.026.221-72</t>
  </si>
  <si>
    <t>13125-1</t>
  </si>
  <si>
    <t>DANILO JUNIOR CAMPOS</t>
  </si>
  <si>
    <t>C418304838</t>
  </si>
  <si>
    <t>103.885.646-95</t>
  </si>
  <si>
    <t>46572-0</t>
  </si>
  <si>
    <t>ANDERSON PEREIRA DA SILVA</t>
  </si>
  <si>
    <t>C213301020</t>
  </si>
  <si>
    <t>050.764.271-66</t>
  </si>
  <si>
    <t>16926-0</t>
  </si>
  <si>
    <t>ALISSON BERNARDO LUI</t>
  </si>
  <si>
    <t>021.760.191-05</t>
  </si>
  <si>
    <t>53547-8</t>
  </si>
  <si>
    <t>ITAMAR LUIZ MARCHESE</t>
  </si>
  <si>
    <t>C517301934</t>
  </si>
  <si>
    <t>280.845.510-00</t>
  </si>
  <si>
    <t>21808-3</t>
  </si>
  <si>
    <t>LEIDJANE MARIA FRANCO MAROJA 92892612420</t>
  </si>
  <si>
    <t>C522300290</t>
  </si>
  <si>
    <t>29.193.515/0001-37</t>
  </si>
  <si>
    <t>35090-2</t>
  </si>
  <si>
    <t>CESTAO ALEXANDRINO LTDA</t>
  </si>
  <si>
    <t>54.248.723/0001-33</t>
  </si>
  <si>
    <t>28355-1</t>
  </si>
  <si>
    <t>CLINICA DE OLHOS SAO PAULO LTDA</t>
  </si>
  <si>
    <t>34.103.831/0001-00</t>
  </si>
  <si>
    <t>65223-7</t>
  </si>
  <si>
    <t>KERRY ALINE COSTA DA SILVA 01666826324</t>
  </si>
  <si>
    <t>37.139.164/0001-04</t>
  </si>
  <si>
    <t>67344-7</t>
  </si>
  <si>
    <t>HELBER BEZERRA DE OLIVEIRA 58695486168</t>
  </si>
  <si>
    <t>C413308789</t>
  </si>
  <si>
    <t>29.818.794/0001-87</t>
  </si>
  <si>
    <t>38202-7</t>
  </si>
  <si>
    <t>DEVANE DINIZ DOS SANTOS CAVALARI</t>
  </si>
  <si>
    <t>010.755.621-98</t>
  </si>
  <si>
    <t>37015-0</t>
  </si>
  <si>
    <t>VALDIR MOREIRA SEVERO</t>
  </si>
  <si>
    <t>971.966.651-04</t>
  </si>
  <si>
    <t>47634-8</t>
  </si>
  <si>
    <t>D R SIMAO LTDA</t>
  </si>
  <si>
    <t>54.976.379/0001-07</t>
  </si>
  <si>
    <t>32381-6</t>
  </si>
  <si>
    <t>ROMMEL AUGUSTO GUIMARAES LIMA ROCHA</t>
  </si>
  <si>
    <t>C437303791</t>
  </si>
  <si>
    <t>398.624.881-15</t>
  </si>
  <si>
    <t>77134-1</t>
  </si>
  <si>
    <t>DA CONSULTORIA E REPRESENTACOES LTDA</t>
  </si>
  <si>
    <t>C318304658</t>
  </si>
  <si>
    <t>39.328.931/0001-59</t>
  </si>
  <si>
    <t>03465-7</t>
  </si>
  <si>
    <t>MIGUEL MOTO TECNICA LTDA</t>
  </si>
  <si>
    <t>C512301596</t>
  </si>
  <si>
    <t>27.229.845/0001-00</t>
  </si>
  <si>
    <t>00998-2</t>
  </si>
  <si>
    <t>ALFA VARIEDADES E CELULARES LTDA</t>
  </si>
  <si>
    <t>52.769.960/0001-14</t>
  </si>
  <si>
    <t>00269-2</t>
  </si>
  <si>
    <t>NAYARA GABRIELA MACHADO MACEDO</t>
  </si>
  <si>
    <t>051.625.851-65</t>
  </si>
  <si>
    <t>13766-2</t>
  </si>
  <si>
    <t>ESSENCIA DA MASSA INDUSTRIA E COMERCIO LTDA</t>
  </si>
  <si>
    <t>50.089.156/0001-69</t>
  </si>
  <si>
    <t>44186-6</t>
  </si>
  <si>
    <t>MAMBAI MOTOS E SERVICOS LTDA</t>
  </si>
  <si>
    <t>1; 2; 3; 4</t>
  </si>
  <si>
    <t>47.834.952/0001-74</t>
  </si>
  <si>
    <t>18061-6</t>
  </si>
  <si>
    <t>JOSE FRANCISCO DE OLIVEIRA ROSA</t>
  </si>
  <si>
    <t>006.427.153-60</t>
  </si>
  <si>
    <t>36533-7</t>
  </si>
  <si>
    <t>NEO ENGENHARIA E GESTAO EM SUSTENTABILIDADE LTDA</t>
  </si>
  <si>
    <t>C529301586</t>
  </si>
  <si>
    <t>26.092.872/0001-10</t>
  </si>
  <si>
    <t>22857-7</t>
  </si>
  <si>
    <t>OCTOBANCA CONVENIENCIA LTDA</t>
  </si>
  <si>
    <t>C428303826</t>
  </si>
  <si>
    <t>02.454.758/0001-25</t>
  </si>
  <si>
    <t>35412-6</t>
  </si>
  <si>
    <t>RODRIGO SOUZA DA SILVA</t>
  </si>
  <si>
    <t>48.689.739/0001-89</t>
  </si>
  <si>
    <t>64188-8</t>
  </si>
  <si>
    <t>GUIOMAR JOSE CZIZESKI</t>
  </si>
  <si>
    <t>524.047.571-72</t>
  </si>
  <si>
    <t>60129-6</t>
  </si>
  <si>
    <t>49727413 ELIANA MARTINS DE SOUSA</t>
  </si>
  <si>
    <t>49.727.413/0001-61</t>
  </si>
  <si>
    <t>00920-3</t>
  </si>
  <si>
    <t>IVANIRA ALVES DE ASSIS CARNEIRO</t>
  </si>
  <si>
    <t>953.828.871-87</t>
  </si>
  <si>
    <t>21174-8</t>
  </si>
  <si>
    <t>LUIZ GUSTAVO LIMA DE ALMEIDA</t>
  </si>
  <si>
    <t>129.049.006-67</t>
  </si>
  <si>
    <t>45783-9</t>
  </si>
  <si>
    <t>EDIVANIA ALVES DE SOUZA SOCIEDADE INDIVIDUAL DE A</t>
  </si>
  <si>
    <t>35.417.281/0001-67</t>
  </si>
  <si>
    <t>74667-3</t>
  </si>
  <si>
    <t>ELIAS TAVARES DA SILVA</t>
  </si>
  <si>
    <t>33.823.833/0001-01</t>
  </si>
  <si>
    <t>81174-2</t>
  </si>
  <si>
    <t>FABIANA BRESCOVIT BASTOS</t>
  </si>
  <si>
    <t>018.740.401-17</t>
  </si>
  <si>
    <t>92367-4</t>
  </si>
  <si>
    <t>MIRELA DINIZ SILVEIRA</t>
  </si>
  <si>
    <t>064.749.811-13</t>
  </si>
  <si>
    <t>67538-5</t>
  </si>
  <si>
    <t>ELIENE DA COSTA OLIVEIRA</t>
  </si>
  <si>
    <t>C433309276</t>
  </si>
  <si>
    <t>022.548.201-09</t>
  </si>
  <si>
    <t>39902-3</t>
  </si>
  <si>
    <t>G D NUNES CONSULTORIA AGROPECUARIA</t>
  </si>
  <si>
    <t>48.688.118/0001-80</t>
  </si>
  <si>
    <t>83041-5</t>
  </si>
  <si>
    <t>MAHPO COMUNICACAO VISUAL E COBERTURAS LTDA</t>
  </si>
  <si>
    <t>38.267.947/0001-36</t>
  </si>
  <si>
    <t>00073-6</t>
  </si>
  <si>
    <t>FERNANDO DE CASTRO</t>
  </si>
  <si>
    <t>C533203739</t>
  </si>
  <si>
    <t>604.905.941-15</t>
  </si>
  <si>
    <t>89624-3</t>
  </si>
  <si>
    <t>MARIO AUGUSTO APARECIDO DOS SANTOS</t>
  </si>
  <si>
    <t>340.182.716-20</t>
  </si>
  <si>
    <t>99974-0</t>
  </si>
  <si>
    <t>REPRESENTACOES ARAUJO LTDA</t>
  </si>
  <si>
    <t>54.881.977/0001-94</t>
  </si>
  <si>
    <t>85754-2</t>
  </si>
  <si>
    <t>POLIANA RAMOS PEREIRA</t>
  </si>
  <si>
    <t>982.882.531-72</t>
  </si>
  <si>
    <t>48513-6</t>
  </si>
  <si>
    <t>BARRETO PRESTACAO DE SERVICOS LTDA</t>
  </si>
  <si>
    <t>C312206697</t>
  </si>
  <si>
    <t>34.464.830/0001-91</t>
  </si>
  <si>
    <t>74258-7</t>
  </si>
  <si>
    <t>FLAINA DE SOUZA RODRIGUES 00275318133</t>
  </si>
  <si>
    <t>C329301361</t>
  </si>
  <si>
    <t>31.836.278/0001-27</t>
  </si>
  <si>
    <t>15894-0</t>
  </si>
  <si>
    <t>LAURA ALVES GUEDES LIMA</t>
  </si>
  <si>
    <t>007.885.691-47</t>
  </si>
  <si>
    <t>24521-6</t>
  </si>
  <si>
    <t>SHARLES ANDRE ARAUJO</t>
  </si>
  <si>
    <t>C313301987</t>
  </si>
  <si>
    <t>075.148.696-54</t>
  </si>
  <si>
    <t>86177-4</t>
  </si>
  <si>
    <t>PEPP CLINICA LTDA</t>
  </si>
  <si>
    <t>09.622.907/0001-67</t>
  </si>
  <si>
    <t>39514-5</t>
  </si>
  <si>
    <t>ROBERT WILLAMS DE SOUSA ROCHA</t>
  </si>
  <si>
    <t>C534300673</t>
  </si>
  <si>
    <t>635.071.961-15</t>
  </si>
  <si>
    <t>84149-6</t>
  </si>
  <si>
    <t>CLERTON QUEIROZ SANTOS</t>
  </si>
  <si>
    <t>C519301613</t>
  </si>
  <si>
    <t>029.286.946-09</t>
  </si>
  <si>
    <t>22637-5</t>
  </si>
  <si>
    <t>MARCOS ANTONIO CONFORTINI</t>
  </si>
  <si>
    <t>C518309297</t>
  </si>
  <si>
    <t>819.663.936-87</t>
  </si>
  <si>
    <t>56046-6</t>
  </si>
  <si>
    <t>CENTRO DE EDUCACAO INFANTIL E ENSINO FUNDAMENTAL E</t>
  </si>
  <si>
    <t>15.639.466/0001-09</t>
  </si>
  <si>
    <t>39875-9</t>
  </si>
  <si>
    <t>MF EMPREENDIMENTOS LTDA</t>
  </si>
  <si>
    <t>23.901.930/0001-11</t>
  </si>
  <si>
    <t>04377-5</t>
  </si>
  <si>
    <t>EMAID MASOUD NIMER YUSUF ALI</t>
  </si>
  <si>
    <t>C526326219</t>
  </si>
  <si>
    <t>610.098.730-91</t>
  </si>
  <si>
    <t>00746-3</t>
  </si>
  <si>
    <t>ARLINDO ANACLETO</t>
  </si>
  <si>
    <t>C414318788</t>
  </si>
  <si>
    <t>153.889.219-72</t>
  </si>
  <si>
    <t>84612-3</t>
  </si>
  <si>
    <t>JOAO VITOR DE ARAUJO CARVALHO</t>
  </si>
  <si>
    <t>057.609.301-76</t>
  </si>
  <si>
    <t>19166-5</t>
  </si>
  <si>
    <t>HOTDOG SAMAMBAIA E LANCHONETE LTDA</t>
  </si>
  <si>
    <t>C534200130</t>
  </si>
  <si>
    <t>1; 2; 4</t>
  </si>
  <si>
    <t>50.204.248/0001-42</t>
  </si>
  <si>
    <t>05390-0</t>
  </si>
  <si>
    <t>ABIMAEL DIAS RIBEIRO</t>
  </si>
  <si>
    <t>C517304968</t>
  </si>
  <si>
    <t>062.330.061-39</t>
  </si>
  <si>
    <t>82290-9</t>
  </si>
  <si>
    <t>MARIA LAURA PEREIRA DA COSTA</t>
  </si>
  <si>
    <t>C530300482</t>
  </si>
  <si>
    <t>032.471.151-45</t>
  </si>
  <si>
    <t>04914-9</t>
  </si>
  <si>
    <t>MELRY KATIUCE DE LIMA</t>
  </si>
  <si>
    <t>C519300501 + Cartão</t>
  </si>
  <si>
    <t>1 + 8</t>
  </si>
  <si>
    <t>101.736.626-84</t>
  </si>
  <si>
    <t>96273-9</t>
  </si>
  <si>
    <t>47922777 KARLA REJE MACENA DA SILVA</t>
  </si>
  <si>
    <t>C428301521</t>
  </si>
  <si>
    <t>47.922.777/0001-77</t>
  </si>
  <si>
    <t>92245-5</t>
  </si>
  <si>
    <t>UIRIAS PEREIRA DE SOUZA</t>
  </si>
  <si>
    <t>711.692.531-72</t>
  </si>
  <si>
    <t>39853-1</t>
  </si>
  <si>
    <t>DEKA BAR PEIXE VIVOS LTDA</t>
  </si>
  <si>
    <t>C518306425</t>
  </si>
  <si>
    <t>54.455.009/0001-16</t>
  </si>
  <si>
    <t>11792-2</t>
  </si>
  <si>
    <t>ANTONIO MARCOS SOARES DA SILVA</t>
  </si>
  <si>
    <t>019.363.711-11</t>
  </si>
  <si>
    <t>93396-2</t>
  </si>
  <si>
    <t>HELIO DELFINO LOPES DE ALCANTARA 06987673144</t>
  </si>
  <si>
    <t>45.265.678/0001-34</t>
  </si>
  <si>
    <t>99515-2</t>
  </si>
  <si>
    <t>VICTOR PATRICK DA SILVA MALAQUIAS</t>
  </si>
  <si>
    <t>C424305387 + Cartão</t>
  </si>
  <si>
    <t>1 + 13</t>
  </si>
  <si>
    <t>043.787.261-06</t>
  </si>
  <si>
    <t>46744-0</t>
  </si>
  <si>
    <t>MARIA MADALENA DE SOUSA SILVA</t>
  </si>
  <si>
    <t>C425303647</t>
  </si>
  <si>
    <t>17.815.343/0001-07</t>
  </si>
  <si>
    <t>38151-2</t>
  </si>
  <si>
    <t>SANTE COMERCIO VAREJISTA LTDA</t>
  </si>
  <si>
    <t>42.764.170/0001-92</t>
  </si>
  <si>
    <t>29291-2</t>
  </si>
  <si>
    <t>CASARAO MOTORS LTDA</t>
  </si>
  <si>
    <t>C521302958</t>
  </si>
  <si>
    <t>34.615.254/0001-36</t>
  </si>
  <si>
    <t>20980-9</t>
  </si>
  <si>
    <t>FLAVIO RICARDO ALVES DANTAS</t>
  </si>
  <si>
    <t>C536301650</t>
  </si>
  <si>
    <t>11.190.763/0001-69</t>
  </si>
  <si>
    <t>25551-7</t>
  </si>
  <si>
    <t>SEJA TELECOM LTDA</t>
  </si>
  <si>
    <t>C528300799</t>
  </si>
  <si>
    <t>45.181.927/0001-03</t>
  </si>
  <si>
    <t>21087-3</t>
  </si>
  <si>
    <t>NAILANA FRANCIELLE DE ANDRADE SILVA</t>
  </si>
  <si>
    <t>025.721.591-39</t>
  </si>
  <si>
    <t>86946-5</t>
  </si>
  <si>
    <t>ARNO JOSE DE ALMEIDA NEULS</t>
  </si>
  <si>
    <t>142.561.771-91</t>
  </si>
  <si>
    <t>22772-9</t>
  </si>
  <si>
    <t>EMERSON FRANCISCO BLAU</t>
  </si>
  <si>
    <t>C524300921</t>
  </si>
  <si>
    <t>058.257.741-14</t>
  </si>
  <si>
    <t>24378-7</t>
  </si>
  <si>
    <t>JULIO JOSE GOMES</t>
  </si>
  <si>
    <t>520.742.771-72</t>
  </si>
  <si>
    <t>16146-4</t>
  </si>
  <si>
    <t>KAREM BATISTA DE SOUSA 03159403106</t>
  </si>
  <si>
    <t>41.939.665/0001-42</t>
  </si>
  <si>
    <t>01184-4</t>
  </si>
  <si>
    <t>HENRIQUE ALENCAR CARNEIRO DE MENDONCA</t>
  </si>
  <si>
    <t>087.858.596-64</t>
  </si>
  <si>
    <t>33813-3</t>
  </si>
  <si>
    <t>MAFALDA DANIELA MOREIRA COELHO GOMES</t>
  </si>
  <si>
    <t>741.082.121-34</t>
  </si>
  <si>
    <t>42126-7</t>
  </si>
  <si>
    <t>NICOLAS ALVES DE MELLO</t>
  </si>
  <si>
    <t>061.378.831-16</t>
  </si>
  <si>
    <t>30180-4</t>
  </si>
  <si>
    <t>SINVALDO COSTA DA SILVA</t>
  </si>
  <si>
    <t>448.963.605-91</t>
  </si>
  <si>
    <t>36442-8</t>
  </si>
  <si>
    <t>KYRYARTTE ARYM MOREIRA DOS SANTOS</t>
  </si>
  <si>
    <t>C212300586 + Cartão</t>
  </si>
  <si>
    <t>1 + 46</t>
  </si>
  <si>
    <t>025.856.521-73</t>
  </si>
  <si>
    <t>70595-7</t>
  </si>
  <si>
    <t>LAYNARA CRISTINA MACIEL GOMES</t>
  </si>
  <si>
    <t>042.916.281-29</t>
  </si>
  <si>
    <t>35548-8</t>
  </si>
  <si>
    <t>BOMBAS INJETORAS LTDA</t>
  </si>
  <si>
    <t>00.439.474/0001-34</t>
  </si>
  <si>
    <t>56305-8</t>
  </si>
  <si>
    <t>RP TELECOM SERVICOS LTDA</t>
  </si>
  <si>
    <t>47.507.614/0001-28</t>
  </si>
  <si>
    <t>36723-0</t>
  </si>
  <si>
    <t>FLAVIO SILVERIO DA CONCEICAO</t>
  </si>
  <si>
    <t>C412305654</t>
  </si>
  <si>
    <t>12 + 13</t>
  </si>
  <si>
    <t>047.779.731-82</t>
  </si>
  <si>
    <t>28938-8</t>
  </si>
  <si>
    <t>ANA PAULA PEREIRA DE SOUSA</t>
  </si>
  <si>
    <t>C414314006</t>
  </si>
  <si>
    <t>14 + 15</t>
  </si>
  <si>
    <t>20.483.984/0001-16</t>
  </si>
  <si>
    <t>26593-4</t>
  </si>
  <si>
    <t>LUCAS GOMES DOS SANTOS</t>
  </si>
  <si>
    <t>C517204564</t>
  </si>
  <si>
    <t>702.954.831-05</t>
  </si>
  <si>
    <t>26124-6</t>
  </si>
  <si>
    <t>EDMAR QUINTINO</t>
  </si>
  <si>
    <t>C216309324</t>
  </si>
  <si>
    <t>33 + 34</t>
  </si>
  <si>
    <t>309.914.801-63</t>
  </si>
  <si>
    <t>50006-3</t>
  </si>
  <si>
    <t>JOSE DAMIAO DA SILVA</t>
  </si>
  <si>
    <t>C512304986</t>
  </si>
  <si>
    <t>046.062.924-74</t>
  </si>
  <si>
    <t>30207-6</t>
  </si>
  <si>
    <t>CLEUTON FERREIRA DE ARAUJO 79852874187</t>
  </si>
  <si>
    <t>38.649.963/0001-93</t>
  </si>
  <si>
    <t>04347-8</t>
  </si>
  <si>
    <t>ORTO X SERVICOS E IMAGENS LTDA</t>
  </si>
  <si>
    <t>11.948.944/0001-01</t>
  </si>
  <si>
    <t>43467-1</t>
  </si>
  <si>
    <t>IZAEL LUSTOSA ALVES</t>
  </si>
  <si>
    <t>C513207283</t>
  </si>
  <si>
    <t>2 + 3</t>
  </si>
  <si>
    <t>068.475.625-01</t>
  </si>
  <si>
    <t>80709-5</t>
  </si>
  <si>
    <t>ANDRE VIEIRA FERREIRA</t>
  </si>
  <si>
    <t>C132206645 + C332300656 + C432307547</t>
  </si>
  <si>
    <t>10 + 24 + 51</t>
  </si>
  <si>
    <t>016.722.911-78</t>
  </si>
  <si>
    <t>03271-4</t>
  </si>
  <si>
    <t>NILSON SAMPAIO DE JESUS</t>
  </si>
  <si>
    <t>900.961.935-49</t>
  </si>
  <si>
    <t>18072-1</t>
  </si>
  <si>
    <t>MARIA MARGARIDA SILVA NEVES</t>
  </si>
  <si>
    <t>C531301229</t>
  </si>
  <si>
    <t>4 + 5</t>
  </si>
  <si>
    <t>49.639.814/0001-60</t>
  </si>
  <si>
    <t>42661-3</t>
  </si>
  <si>
    <t>GEOVANNA LIZA GOMES DOS SANTOS MACEDO</t>
  </si>
  <si>
    <t>C524301472</t>
  </si>
  <si>
    <t>068.588.811-82</t>
  </si>
  <si>
    <t>86187-1</t>
  </si>
  <si>
    <t>OSMAR RODRIGUES DE AQUINO</t>
  </si>
  <si>
    <t>C311305438</t>
  </si>
  <si>
    <t>136.276.271-72</t>
  </si>
  <si>
    <t>35934-0</t>
  </si>
  <si>
    <t>SUPERMERCADO CONFIANCA DE DAMIANOPOLIS LTDA</t>
  </si>
  <si>
    <t>C412306030</t>
  </si>
  <si>
    <t>40.170.831/0001-26</t>
  </si>
  <si>
    <t>66471-5</t>
  </si>
  <si>
    <t>D MINAS EMPREENDIMENTOS IMOBILIARIOS LTDA</t>
  </si>
  <si>
    <t>C518201232</t>
  </si>
  <si>
    <t>9 + 10</t>
  </si>
  <si>
    <t>37.185.690/0001-00</t>
  </si>
  <si>
    <t>55965-7</t>
  </si>
  <si>
    <t>MARIA MARLUCE DE ARAUJO SANTANA</t>
  </si>
  <si>
    <t>358.180.931-15</t>
  </si>
  <si>
    <t>89170-6</t>
  </si>
  <si>
    <t>GEOBERDAN PEREIRA DA SILVA</t>
  </si>
  <si>
    <t>602.566.353-07</t>
  </si>
  <si>
    <t>08726-2</t>
  </si>
  <si>
    <t>JOANA PAULO DA SILVA SABATH</t>
  </si>
  <si>
    <t>917.480.461-87</t>
  </si>
  <si>
    <t>37243-3</t>
  </si>
  <si>
    <t>49.226.929 CASSIO LIMA DA SILVA</t>
  </si>
  <si>
    <t>C417307302</t>
  </si>
  <si>
    <t>13 + 14</t>
  </si>
  <si>
    <t>49.226.929/0001-22</t>
  </si>
  <si>
    <t>79741-3</t>
  </si>
  <si>
    <t>CLEUTON ASSIS DOS SANTOS</t>
  </si>
  <si>
    <t>C418302649</t>
  </si>
  <si>
    <t>16 + 17</t>
  </si>
  <si>
    <t>001.831.446-51</t>
  </si>
  <si>
    <t>21269-7</t>
  </si>
  <si>
    <t>CHACARA BEZERRA COMERCIO E DISTRIBUICAO DE FRUTAS</t>
  </si>
  <si>
    <t>C525202770</t>
  </si>
  <si>
    <t>35.587.116/0001-53</t>
  </si>
  <si>
    <t>42857-5</t>
  </si>
  <si>
    <t>JULIANA ALVES DA FONSECA</t>
  </si>
  <si>
    <t>960.630.331-49</t>
  </si>
  <si>
    <t>38882-8</t>
  </si>
  <si>
    <t>TABACARIA DB LTDA</t>
  </si>
  <si>
    <t>C520200361</t>
  </si>
  <si>
    <t>25.684.029/0001-60</t>
  </si>
  <si>
    <t>68651-1</t>
  </si>
  <si>
    <t>EDSON JUAREZ MACEDO JUNIOR</t>
  </si>
  <si>
    <t>C425301571</t>
  </si>
  <si>
    <t>19 + 20</t>
  </si>
  <si>
    <t>005.900.041-40</t>
  </si>
  <si>
    <t>25949-1</t>
  </si>
  <si>
    <t>47926930 JULIO JUNIO FERREIRA DE ANDRADE SILVA</t>
  </si>
  <si>
    <t>C418304013</t>
  </si>
  <si>
    <t>47.926.930/0001-34</t>
  </si>
  <si>
    <t>14905-6</t>
  </si>
  <si>
    <t>EDER FIRMIANO DA SILVA</t>
  </si>
  <si>
    <t>C321300307</t>
  </si>
  <si>
    <t>026.561.431-79</t>
  </si>
  <si>
    <t>54530-3</t>
  </si>
  <si>
    <t>EDIMAR SOARES DE AZEVEDO</t>
  </si>
  <si>
    <t>C321301583</t>
  </si>
  <si>
    <t>27 + 28</t>
  </si>
  <si>
    <t>869.452.201-25</t>
  </si>
  <si>
    <t>02671-7</t>
  </si>
  <si>
    <t>GR HOSPITALAR E SERVICOS LTDA</t>
  </si>
  <si>
    <t>C524301618 + Cartão</t>
  </si>
  <si>
    <t>1 + 5 + 6</t>
  </si>
  <si>
    <t>35.231.609/0001-56</t>
  </si>
  <si>
    <t>47312-3</t>
  </si>
  <si>
    <t>MH AMBIENTES PLANEJADOS LTDA</t>
  </si>
  <si>
    <t>C514318810 + Cartão</t>
  </si>
  <si>
    <t>1 + 2</t>
  </si>
  <si>
    <t>36.394.520/0001-73</t>
  </si>
  <si>
    <t>03672-4</t>
  </si>
  <si>
    <t>BRUNO HENRIQUE GOMES AZEVEDO</t>
  </si>
  <si>
    <t>C321301109</t>
  </si>
  <si>
    <t>31 + 32</t>
  </si>
  <si>
    <t>030.350.071-95</t>
  </si>
  <si>
    <t>17815-4</t>
  </si>
  <si>
    <t>JANAINA MACHADO DE SOUZA RIBEIRO</t>
  </si>
  <si>
    <t>032.980.061-22</t>
  </si>
  <si>
    <t>83500-1</t>
  </si>
  <si>
    <t>ADAILTON OSCAR DA SILVA</t>
  </si>
  <si>
    <t>C437300342 + C537300461</t>
  </si>
  <si>
    <t>1 + 4</t>
  </si>
  <si>
    <t>932.463.071-72</t>
  </si>
  <si>
    <t>35488-0</t>
  </si>
  <si>
    <t>CARLOS HENRIQUE ALVES CAVALCANTE</t>
  </si>
  <si>
    <t>C412306049</t>
  </si>
  <si>
    <t>057.440.771-54</t>
  </si>
  <si>
    <t>12571-7</t>
  </si>
  <si>
    <t>VIVIANE MEIRELES BRANDAO TRISTAO</t>
  </si>
  <si>
    <t>894.185.731-72</t>
  </si>
  <si>
    <t>01151-0</t>
  </si>
  <si>
    <t>ANTONIO AUGUSTO MUNDIM ANDRADE PORTO</t>
  </si>
  <si>
    <t>063.877.526-47</t>
  </si>
  <si>
    <t>18543-6</t>
  </si>
  <si>
    <t>L A MARCOZZE CANOAS BAR LTDA</t>
  </si>
  <si>
    <t>39.483.885/0001-62</t>
  </si>
  <si>
    <t>11744-1</t>
  </si>
  <si>
    <t>BIBAS COMERCIO VAREJISTA DE PRODUTOS DE PAPELARIA</t>
  </si>
  <si>
    <t>C528301647</t>
  </si>
  <si>
    <t>6 + 7</t>
  </si>
  <si>
    <t>34.046.889/0001-60</t>
  </si>
  <si>
    <t>31863-2</t>
  </si>
  <si>
    <t>SANDRA PEREIRA LOPES</t>
  </si>
  <si>
    <t>C527302216</t>
  </si>
  <si>
    <t>8 + 9</t>
  </si>
  <si>
    <t>014.630.061-01</t>
  </si>
  <si>
    <t>78050-3</t>
  </si>
  <si>
    <t>MARCIO DOS SANTOS LELIS</t>
  </si>
  <si>
    <t>903.383.591-68</t>
  </si>
  <si>
    <t>44216-1</t>
  </si>
  <si>
    <t>IRAIDE RODRIGUES GOMES</t>
  </si>
  <si>
    <t>781.199.281-72</t>
  </si>
  <si>
    <t>81369-3</t>
  </si>
  <si>
    <t>ALLEGRO PIZZARIA</t>
  </si>
  <si>
    <t>C529302272</t>
  </si>
  <si>
    <t>36.678.540/0001-76</t>
  </si>
  <si>
    <t>74335-3</t>
  </si>
  <si>
    <t>ANTONIO PEREIRA DE OLIVEIRA</t>
  </si>
  <si>
    <t>C330201359 + Cartão</t>
  </si>
  <si>
    <t>1 + 24 + 25</t>
  </si>
  <si>
    <t>084.606.041-87</t>
  </si>
  <si>
    <t>82145-6</t>
  </si>
  <si>
    <t>LEANDRO WERNER CANTAGALO</t>
  </si>
  <si>
    <t>719.794.841-04</t>
  </si>
  <si>
    <t>13478-4</t>
  </si>
  <si>
    <t>TALYSON DE SOUSA FERREIRA</t>
  </si>
  <si>
    <t>706.873.771-45</t>
  </si>
  <si>
    <t>47660-7</t>
  </si>
  <si>
    <t>ELGARO JONES C CORREA MANUTENCAO LTDA</t>
  </si>
  <si>
    <t>48.180.403/0001-96</t>
  </si>
  <si>
    <t>84823-6</t>
  </si>
  <si>
    <t>HW COMERCIO DE SOLUCOES AGRICOLAS LTDA</t>
  </si>
  <si>
    <t>52.150.523/0001-18</t>
  </si>
  <si>
    <t>27385-5</t>
  </si>
  <si>
    <t>JOSE ALESSANDRO VENANCIO GONCALVES 03325429122</t>
  </si>
  <si>
    <t>C422302429</t>
  </si>
  <si>
    <t>24.308.958/0001-02</t>
  </si>
  <si>
    <t>01606-3</t>
  </si>
  <si>
    <t>FILIPE FERREIRA BRAZACA</t>
  </si>
  <si>
    <t>1; 2</t>
  </si>
  <si>
    <t>024.711.005-11</t>
  </si>
  <si>
    <t>27602-3</t>
  </si>
  <si>
    <t>JRM CONTABILIDADE E GESTAO EMPRESARIAL LTDA</t>
  </si>
  <si>
    <t>37.195.667/0001-05</t>
  </si>
  <si>
    <t>03834-0</t>
  </si>
  <si>
    <t>THALES DE SOUZA MADEIRA</t>
  </si>
  <si>
    <t>C514205136</t>
  </si>
  <si>
    <t>019.904.341-85</t>
  </si>
  <si>
    <t>47155-2</t>
  </si>
  <si>
    <t>57396033 IREUDA DOS SANTOS BENOS(Associada insuportavel.)</t>
  </si>
  <si>
    <t>57.396.033/0001-10</t>
  </si>
  <si>
    <t>88456-1</t>
  </si>
  <si>
    <t>JONAS ABREU DE SOUSA</t>
  </si>
  <si>
    <t>C529202960</t>
  </si>
  <si>
    <t>1 + 2 + 3</t>
  </si>
  <si>
    <t>020.916.331-35</t>
  </si>
  <si>
    <t>65009-9</t>
  </si>
  <si>
    <t>UNIAO MAQUINAS LTDA</t>
  </si>
  <si>
    <t>C314313938 + C414321088</t>
  </si>
  <si>
    <t>10 + 11 + 12 + 27</t>
  </si>
  <si>
    <t>37.141.079/0001-80</t>
  </si>
  <si>
    <t>35410-1</t>
  </si>
  <si>
    <t>B2 TRIUNFAR EMBALAGENS LTDA</t>
  </si>
  <si>
    <t>C534204011</t>
  </si>
  <si>
    <t>65 + 66 + 70 + 71 + 72 + 73 + 74 + 75 + 76 + 77 + 78 + 79 + 80 + 81 + 82 + 83</t>
  </si>
  <si>
    <t>36.918.531/0001-05</t>
  </si>
  <si>
    <t>39546-9</t>
  </si>
  <si>
    <t>FRANCISCO CARLOS MAIA JUNIOR</t>
  </si>
  <si>
    <t>635.322.551-20</t>
  </si>
  <si>
    <t>17404-5</t>
  </si>
  <si>
    <t>ALYSSON DE ALMEIDA FERREIRA</t>
  </si>
  <si>
    <t>C419203962</t>
  </si>
  <si>
    <t>074.562.036-10</t>
  </si>
  <si>
    <t>61944-2</t>
  </si>
  <si>
    <t>HGM MALHARIA POSSE LTDA</t>
  </si>
  <si>
    <t>C511301975</t>
  </si>
  <si>
    <t>01.184.464/0001-68</t>
  </si>
  <si>
    <t>34651-1</t>
  </si>
  <si>
    <t>LUCIO MACIEL</t>
  </si>
  <si>
    <t>C521301226</t>
  </si>
  <si>
    <t>6 + 7 + 8</t>
  </si>
  <si>
    <t>374.504.091-00</t>
  </si>
  <si>
    <t>86178-2</t>
  </si>
  <si>
    <t>OSMAR RODRIGUES DE AQUINO JUNIOR</t>
  </si>
  <si>
    <t>C511208096</t>
  </si>
  <si>
    <t>014.970.091-11</t>
  </si>
  <si>
    <t>89570-9</t>
  </si>
  <si>
    <t>AMERICANOS CELULARES ACESSORIOS E ELETRONICOS LTDA</t>
  </si>
  <si>
    <t>13.069.822/0001-70</t>
  </si>
  <si>
    <t>04914-5</t>
  </si>
  <si>
    <t>ALISSON HENRIQUE RIBEIRO</t>
  </si>
  <si>
    <t>110.540.946-59</t>
  </si>
  <si>
    <t>00895-3</t>
  </si>
  <si>
    <t>DANILO SOARES DE JESUS 04080105177</t>
  </si>
  <si>
    <t>40.234.865/0001-37</t>
  </si>
  <si>
    <t>26130-5</t>
  </si>
  <si>
    <t>LUCIENE FERREIRA DOS ANJOS</t>
  </si>
  <si>
    <t>C414311392</t>
  </si>
  <si>
    <t>13 + 14 + 15 + 16</t>
  </si>
  <si>
    <t>885.170.631-04</t>
  </si>
  <si>
    <t>84312-9</t>
  </si>
  <si>
    <t>ALMIR FERREIRA 09044167120</t>
  </si>
  <si>
    <t>46.744.605/0001-98</t>
  </si>
  <si>
    <t>09030-8</t>
  </si>
  <si>
    <t>RAFAEL SILVA FELIX 04941695160</t>
  </si>
  <si>
    <t>C322300432</t>
  </si>
  <si>
    <t>32.578.222/0001-82</t>
  </si>
  <si>
    <t>83569-7</t>
  </si>
  <si>
    <t>JEFTE FERNANDES DE BRITO</t>
  </si>
  <si>
    <t>C417308716 + C517304038</t>
  </si>
  <si>
    <t>1 + 9</t>
  </si>
  <si>
    <t>048.436.521-56</t>
  </si>
  <si>
    <t>99742-0</t>
  </si>
  <si>
    <t>EMALV COMERCIAL LTDA</t>
  </si>
  <si>
    <t>24.755.873/0001-72</t>
  </si>
  <si>
    <t>66513-5</t>
  </si>
  <si>
    <t>VALIRIA RODRIGUES DA SILVA</t>
  </si>
  <si>
    <t>C535304931</t>
  </si>
  <si>
    <t>3 + 4</t>
  </si>
  <si>
    <t>019.327.761-17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</si>
</sst>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2" fillId="2" borderId="1" xfId="1" applyFont="1" applyFill="1" applyBorder="1" applyAlignment="1">
      <alignment horizontal="center"/>
    </xf>
    <xf numFmtId="10" fontId="0" fillId="0" borderId="0" xfId="0" applyNumberFormat="1"/>
    <xf numFmtId="9" fontId="0" fillId="0" borderId="0" xfId="0" applyNumberFormat="1"/>
    <xf numFmtId="16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6"/>
  <sheetViews>
    <sheetView tabSelected="1" topLeftCell="A2" workbookViewId="0">
      <selection activeCell="I8" sqref="I8"/>
    </sheetView>
  </sheetViews>
  <sheetFormatPr defaultRowHeight="14.45"/>
  <cols>
    <col min="1" max="1" width="6.140625" style="5" bestFit="1" customWidth="1"/>
    <col min="2" max="2" width="17.85546875" style="5" bestFit="1" customWidth="1"/>
    <col min="3" max="3" width="8.42578125" style="3" bestFit="1" customWidth="1"/>
    <col min="4" max="4" width="28.42578125" style="3" customWidth="1"/>
    <col min="5" max="5" width="16.42578125" style="3" customWidth="1"/>
    <col min="6" max="6" width="14.42578125" style="3" customWidth="1"/>
    <col min="7" max="7" width="14.42578125" style="3" bestFit="1" customWidth="1"/>
    <col min="8" max="8" width="18" bestFit="1" customWidth="1"/>
    <col min="9" max="9" width="11.140625" style="3" bestFit="1" customWidth="1"/>
    <col min="10" max="10" width="18" style="3" bestFit="1" customWidth="1"/>
    <col min="11" max="11" width="9" style="5" bestFit="1" customWidth="1"/>
    <col min="13" max="13" width="11.85546875" bestFit="1" customWidth="1"/>
  </cols>
  <sheetData>
    <row r="1" spans="1:13">
      <c r="G1" s="4">
        <f>SUM(G3:G176)</f>
        <v>971523.04000000027</v>
      </c>
    </row>
    <row r="2" spans="1:13" s="5" customFormat="1" ht="27" customHeight="1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7" t="s">
        <v>5</v>
      </c>
      <c r="G2" s="7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5" t="s">
        <v>11</v>
      </c>
      <c r="M2" s="5" t="s">
        <v>12</v>
      </c>
    </row>
    <row r="3" spans="1:13">
      <c r="A3" s="5">
        <v>30</v>
      </c>
      <c r="B3" s="6">
        <v>46001</v>
      </c>
      <c r="C3" s="3" t="s">
        <v>13</v>
      </c>
      <c r="D3" s="3" t="s">
        <v>14</v>
      </c>
      <c r="E3" s="3" t="s">
        <v>15</v>
      </c>
      <c r="F3" s="3">
        <v>9</v>
      </c>
      <c r="G3" s="4">
        <v>489.48</v>
      </c>
      <c r="I3" s="3" t="s">
        <v>16</v>
      </c>
      <c r="J3" s="3" t="s">
        <v>17</v>
      </c>
      <c r="K3" s="5">
        <v>1</v>
      </c>
      <c r="L3" s="8">
        <v>2.5000000000000001E-2</v>
      </c>
      <c r="M3" s="10">
        <f>L3*G3</f>
        <v>12.237000000000002</v>
      </c>
    </row>
    <row r="4" spans="1:13">
      <c r="A4" s="5">
        <v>21</v>
      </c>
      <c r="B4" s="6">
        <v>46002</v>
      </c>
      <c r="C4" s="3" t="s">
        <v>18</v>
      </c>
      <c r="D4" s="3" t="s">
        <v>19</v>
      </c>
      <c r="E4" s="3" t="s">
        <v>20</v>
      </c>
      <c r="F4" s="3">
        <v>1</v>
      </c>
      <c r="G4" s="4">
        <v>28665.63</v>
      </c>
      <c r="J4" s="3" t="s">
        <v>21</v>
      </c>
      <c r="K4" s="5">
        <v>1</v>
      </c>
      <c r="L4" s="8">
        <v>2.5000000000000001E-2</v>
      </c>
      <c r="M4" s="10">
        <f t="shared" ref="M4:M67" si="0">L4*G4</f>
        <v>716.64075000000003</v>
      </c>
    </row>
    <row r="5" spans="1:13">
      <c r="A5" s="5">
        <v>32</v>
      </c>
      <c r="B5" s="6">
        <v>45992</v>
      </c>
      <c r="C5" s="3" t="s">
        <v>22</v>
      </c>
      <c r="D5" s="3" t="s">
        <v>23</v>
      </c>
      <c r="E5" s="3" t="s">
        <v>24</v>
      </c>
      <c r="F5" s="3">
        <v>11</v>
      </c>
      <c r="G5" s="4">
        <v>59.32</v>
      </c>
      <c r="I5" s="3">
        <v>4</v>
      </c>
      <c r="J5" s="3" t="s">
        <v>25</v>
      </c>
      <c r="K5" s="5">
        <v>1</v>
      </c>
      <c r="L5" s="8">
        <v>2.5000000000000001E-2</v>
      </c>
      <c r="M5" s="10">
        <f t="shared" si="0"/>
        <v>1.4830000000000001</v>
      </c>
    </row>
    <row r="6" spans="1:13">
      <c r="A6" s="5">
        <v>36</v>
      </c>
      <c r="B6" s="6">
        <v>46001</v>
      </c>
      <c r="C6" s="3" t="s">
        <v>26</v>
      </c>
      <c r="D6" s="3" t="s">
        <v>27</v>
      </c>
      <c r="E6" s="3" t="s">
        <v>20</v>
      </c>
      <c r="F6" s="3">
        <v>1</v>
      </c>
      <c r="G6" s="4">
        <v>7368.82</v>
      </c>
      <c r="J6" s="3" t="s">
        <v>28</v>
      </c>
      <c r="K6" s="5">
        <v>1</v>
      </c>
      <c r="L6" s="8">
        <v>2.5000000000000001E-2</v>
      </c>
      <c r="M6" s="10">
        <f t="shared" si="0"/>
        <v>184.22050000000002</v>
      </c>
    </row>
    <row r="7" spans="1:13">
      <c r="A7" s="5">
        <v>18</v>
      </c>
      <c r="B7" s="6">
        <v>46001</v>
      </c>
      <c r="C7" s="3" t="s">
        <v>29</v>
      </c>
      <c r="D7" s="3" t="s">
        <v>30</v>
      </c>
      <c r="E7" s="3" t="s">
        <v>31</v>
      </c>
      <c r="F7" s="3">
        <v>11</v>
      </c>
      <c r="G7" s="4">
        <v>369.76</v>
      </c>
      <c r="I7" s="3" t="s">
        <v>16</v>
      </c>
      <c r="J7" s="3" t="s">
        <v>32</v>
      </c>
      <c r="K7" s="5">
        <v>5</v>
      </c>
      <c r="L7" s="8">
        <v>2.5000000000000001E-2</v>
      </c>
      <c r="M7" s="10">
        <f t="shared" si="0"/>
        <v>9.2439999999999998</v>
      </c>
    </row>
    <row r="8" spans="1:13">
      <c r="A8" s="5">
        <v>35</v>
      </c>
      <c r="B8" s="6">
        <v>46001</v>
      </c>
      <c r="C8" s="3" t="s">
        <v>33</v>
      </c>
      <c r="D8" s="3" t="s">
        <v>34</v>
      </c>
      <c r="E8" s="3" t="s">
        <v>20</v>
      </c>
      <c r="F8" s="3">
        <v>1</v>
      </c>
      <c r="G8" s="4">
        <v>6208.17</v>
      </c>
      <c r="I8" s="3">
        <v>2</v>
      </c>
      <c r="J8" s="3" t="s">
        <v>35</v>
      </c>
      <c r="K8" s="5">
        <v>5</v>
      </c>
      <c r="L8" s="8">
        <v>2.5000000000000001E-2</v>
      </c>
      <c r="M8" s="10">
        <f t="shared" si="0"/>
        <v>155.20425</v>
      </c>
    </row>
    <row r="9" spans="1:13">
      <c r="A9" s="5">
        <v>29</v>
      </c>
      <c r="B9" s="6">
        <v>45992</v>
      </c>
      <c r="C9" s="3" t="s">
        <v>36</v>
      </c>
      <c r="D9" s="3" t="s">
        <v>37</v>
      </c>
      <c r="E9" s="3" t="s">
        <v>20</v>
      </c>
      <c r="F9" s="3">
        <v>1</v>
      </c>
      <c r="G9" s="4">
        <v>5796.19</v>
      </c>
      <c r="J9" s="3" t="s">
        <v>38</v>
      </c>
      <c r="K9" s="5">
        <v>6</v>
      </c>
      <c r="L9" s="8">
        <v>2.5000000000000001E-2</v>
      </c>
      <c r="M9" s="10">
        <f t="shared" si="0"/>
        <v>144.90475000000001</v>
      </c>
    </row>
    <row r="10" spans="1:13">
      <c r="A10" s="5">
        <v>26</v>
      </c>
      <c r="B10" s="6">
        <v>46010</v>
      </c>
      <c r="C10" s="3" t="s">
        <v>39</v>
      </c>
      <c r="D10" s="3" t="s">
        <v>40</v>
      </c>
      <c r="E10" s="3" t="s">
        <v>20</v>
      </c>
      <c r="F10" s="3">
        <v>1</v>
      </c>
      <c r="G10" s="4">
        <v>1295.6300000000001</v>
      </c>
      <c r="J10" s="3" t="s">
        <v>41</v>
      </c>
      <c r="K10" s="5">
        <v>6</v>
      </c>
      <c r="L10" s="8">
        <v>2.5000000000000001E-2</v>
      </c>
      <c r="M10" s="10">
        <f t="shared" si="0"/>
        <v>32.390750000000004</v>
      </c>
    </row>
    <row r="11" spans="1:13">
      <c r="A11" s="5">
        <v>27</v>
      </c>
      <c r="B11" s="6">
        <v>46010</v>
      </c>
      <c r="C11" s="3" t="s">
        <v>42</v>
      </c>
      <c r="D11" s="3" t="s">
        <v>43</v>
      </c>
      <c r="E11" s="3" t="s">
        <v>20</v>
      </c>
      <c r="F11" s="3">
        <v>1</v>
      </c>
      <c r="G11" s="4">
        <v>2777.74</v>
      </c>
      <c r="J11" s="3" t="s">
        <v>44</v>
      </c>
      <c r="K11" s="5">
        <v>6</v>
      </c>
      <c r="L11" s="8">
        <v>2.5000000000000001E-2</v>
      </c>
      <c r="M11" s="10">
        <f t="shared" si="0"/>
        <v>69.4435</v>
      </c>
    </row>
    <row r="12" spans="1:13">
      <c r="A12" s="5">
        <v>26</v>
      </c>
      <c r="B12" s="6">
        <v>45992</v>
      </c>
      <c r="C12" s="3" t="s">
        <v>45</v>
      </c>
      <c r="D12" s="3" t="s">
        <v>46</v>
      </c>
      <c r="E12" s="3" t="s">
        <v>20</v>
      </c>
      <c r="F12" s="3">
        <v>1</v>
      </c>
      <c r="G12" s="4">
        <v>1452.5</v>
      </c>
      <c r="I12" s="3" t="s">
        <v>16</v>
      </c>
      <c r="J12" s="3" t="s">
        <v>47</v>
      </c>
      <c r="K12" s="5">
        <v>7</v>
      </c>
      <c r="L12" s="8">
        <v>2.5000000000000001E-2</v>
      </c>
      <c r="M12" s="10">
        <f t="shared" si="0"/>
        <v>36.3125</v>
      </c>
    </row>
    <row r="13" spans="1:13">
      <c r="A13" s="5">
        <v>19</v>
      </c>
      <c r="B13" s="6">
        <v>45993</v>
      </c>
      <c r="C13" s="3" t="s">
        <v>48</v>
      </c>
      <c r="D13" s="3" t="s">
        <v>49</v>
      </c>
      <c r="E13" s="3" t="s">
        <v>20</v>
      </c>
      <c r="F13" s="3">
        <v>1</v>
      </c>
      <c r="G13" s="4">
        <v>4872.47</v>
      </c>
      <c r="J13" s="3" t="s">
        <v>50</v>
      </c>
      <c r="K13" s="5">
        <v>7</v>
      </c>
      <c r="L13" s="8">
        <v>2.5000000000000001E-2</v>
      </c>
      <c r="M13" s="10">
        <f t="shared" si="0"/>
        <v>121.81175000000002</v>
      </c>
    </row>
    <row r="14" spans="1:13">
      <c r="A14" s="5">
        <v>11</v>
      </c>
      <c r="B14" s="6">
        <v>46001</v>
      </c>
      <c r="C14" s="3" t="s">
        <v>51</v>
      </c>
      <c r="D14" s="3" t="s">
        <v>52</v>
      </c>
      <c r="E14" s="3" t="s">
        <v>20</v>
      </c>
      <c r="F14" s="3">
        <v>1</v>
      </c>
      <c r="G14" s="4">
        <v>5111.3500000000004</v>
      </c>
      <c r="J14" s="3" t="s">
        <v>53</v>
      </c>
      <c r="K14" s="5">
        <v>7</v>
      </c>
      <c r="L14" s="8">
        <v>2.5000000000000001E-2</v>
      </c>
      <c r="M14" s="10">
        <f t="shared" si="0"/>
        <v>127.78375000000001</v>
      </c>
    </row>
    <row r="15" spans="1:13">
      <c r="A15" s="5">
        <v>11</v>
      </c>
      <c r="B15" s="6">
        <v>46008</v>
      </c>
      <c r="C15" s="3" t="s">
        <v>54</v>
      </c>
      <c r="D15" s="3" t="s">
        <v>55</v>
      </c>
      <c r="E15" s="3" t="s">
        <v>56</v>
      </c>
      <c r="F15" s="3">
        <v>30</v>
      </c>
      <c r="G15" s="4">
        <v>206.7</v>
      </c>
      <c r="I15" s="3" t="s">
        <v>16</v>
      </c>
      <c r="J15" s="3" t="s">
        <v>57</v>
      </c>
      <c r="K15" s="5">
        <v>7</v>
      </c>
      <c r="L15" s="8">
        <v>2.5000000000000001E-2</v>
      </c>
      <c r="M15" s="10">
        <f t="shared" si="0"/>
        <v>5.1675000000000004</v>
      </c>
    </row>
    <row r="16" spans="1:13">
      <c r="A16" s="5">
        <v>19</v>
      </c>
      <c r="B16" s="6">
        <v>46008</v>
      </c>
      <c r="C16" s="3" t="s">
        <v>58</v>
      </c>
      <c r="D16" s="3" t="s">
        <v>59</v>
      </c>
      <c r="E16" s="3" t="s">
        <v>20</v>
      </c>
      <c r="F16" s="3">
        <v>1</v>
      </c>
      <c r="G16" s="4">
        <v>3943.63</v>
      </c>
      <c r="J16" s="3" t="s">
        <v>60</v>
      </c>
      <c r="K16" s="5">
        <v>7</v>
      </c>
      <c r="L16" s="8">
        <v>2.5000000000000001E-2</v>
      </c>
      <c r="M16" s="10">
        <f t="shared" si="0"/>
        <v>98.590750000000014</v>
      </c>
    </row>
    <row r="17" spans="1:13">
      <c r="A17" s="5">
        <v>17</v>
      </c>
      <c r="B17" s="6">
        <v>46008</v>
      </c>
      <c r="C17" s="3" t="s">
        <v>61</v>
      </c>
      <c r="D17" s="3" t="s">
        <v>62</v>
      </c>
      <c r="E17" s="3" t="s">
        <v>20</v>
      </c>
      <c r="F17" s="3">
        <v>1</v>
      </c>
      <c r="G17" s="4">
        <v>642</v>
      </c>
      <c r="J17" s="3" t="s">
        <v>63</v>
      </c>
      <c r="K17" s="5">
        <v>7</v>
      </c>
      <c r="L17" s="8">
        <v>2.5000000000000001E-2</v>
      </c>
      <c r="M17" s="10">
        <f t="shared" si="0"/>
        <v>16.05</v>
      </c>
    </row>
    <row r="18" spans="1:13">
      <c r="A18" s="5">
        <v>19</v>
      </c>
      <c r="B18" s="6">
        <v>46008</v>
      </c>
      <c r="C18" s="3" t="s">
        <v>64</v>
      </c>
      <c r="D18" s="3" t="s">
        <v>65</v>
      </c>
      <c r="E18" s="3" t="s">
        <v>20</v>
      </c>
      <c r="F18" s="3">
        <v>1</v>
      </c>
      <c r="G18" s="4">
        <v>16181.14</v>
      </c>
      <c r="J18" s="3" t="s">
        <v>66</v>
      </c>
      <c r="K18" s="5">
        <v>7</v>
      </c>
      <c r="L18" s="8">
        <v>2.5000000000000001E-2</v>
      </c>
      <c r="M18" s="10">
        <f t="shared" si="0"/>
        <v>404.52850000000001</v>
      </c>
    </row>
    <row r="19" spans="1:13">
      <c r="A19" s="5">
        <v>13</v>
      </c>
      <c r="B19" s="6">
        <v>46008</v>
      </c>
      <c r="C19" s="3" t="s">
        <v>67</v>
      </c>
      <c r="D19" s="3" t="s">
        <v>68</v>
      </c>
      <c r="E19" s="3" t="s">
        <v>20</v>
      </c>
      <c r="F19" s="3">
        <v>1</v>
      </c>
      <c r="G19" s="4">
        <v>1273.31</v>
      </c>
      <c r="J19" s="3" t="s">
        <v>69</v>
      </c>
      <c r="K19" s="5">
        <v>7</v>
      </c>
      <c r="L19" s="8">
        <v>2.5000000000000001E-2</v>
      </c>
      <c r="M19" s="10">
        <f t="shared" si="0"/>
        <v>31.832750000000001</v>
      </c>
    </row>
    <row r="20" spans="1:13">
      <c r="A20" s="5">
        <v>33</v>
      </c>
      <c r="B20" s="6">
        <v>46008</v>
      </c>
      <c r="C20" s="3" t="s">
        <v>70</v>
      </c>
      <c r="D20" s="3" t="s">
        <v>71</v>
      </c>
      <c r="E20" s="3" t="s">
        <v>20</v>
      </c>
      <c r="F20" s="3">
        <v>1</v>
      </c>
      <c r="G20" s="4">
        <v>50333.5</v>
      </c>
      <c r="J20" s="3" t="s">
        <v>72</v>
      </c>
      <c r="K20" s="5">
        <v>7</v>
      </c>
      <c r="L20" s="8">
        <v>2.5000000000000001E-2</v>
      </c>
      <c r="M20" s="10">
        <f t="shared" si="0"/>
        <v>1258.3375000000001</v>
      </c>
    </row>
    <row r="21" spans="1:13">
      <c r="A21" s="5">
        <v>24</v>
      </c>
      <c r="B21" s="6">
        <v>46008</v>
      </c>
      <c r="C21" s="3" t="s">
        <v>73</v>
      </c>
      <c r="D21" s="3" t="s">
        <v>74</v>
      </c>
      <c r="E21" s="3" t="s">
        <v>20</v>
      </c>
      <c r="F21" s="3">
        <v>1</v>
      </c>
      <c r="G21" s="4">
        <v>7494.02</v>
      </c>
      <c r="J21" s="3" t="s">
        <v>75</v>
      </c>
      <c r="K21" s="5">
        <v>7</v>
      </c>
      <c r="L21" s="8">
        <v>2.5000000000000001E-2</v>
      </c>
      <c r="M21" s="10">
        <f t="shared" si="0"/>
        <v>187.35050000000001</v>
      </c>
    </row>
    <row r="22" spans="1:13">
      <c r="A22" s="5">
        <v>30</v>
      </c>
      <c r="B22" s="6">
        <v>46008</v>
      </c>
      <c r="C22" s="3" t="s">
        <v>76</v>
      </c>
      <c r="D22" s="3" t="s">
        <v>77</v>
      </c>
      <c r="E22" s="3" t="s">
        <v>20</v>
      </c>
      <c r="F22" s="3">
        <v>1</v>
      </c>
      <c r="G22" s="4">
        <v>3359.46</v>
      </c>
      <c r="J22" s="3" t="s">
        <v>78</v>
      </c>
      <c r="K22" s="5">
        <v>7</v>
      </c>
      <c r="L22" s="8">
        <v>2.5000000000000001E-2</v>
      </c>
      <c r="M22" s="10">
        <f t="shared" si="0"/>
        <v>83.986500000000007</v>
      </c>
    </row>
    <row r="23" spans="1:13">
      <c r="A23" s="5">
        <v>22</v>
      </c>
      <c r="B23" s="6">
        <v>45994</v>
      </c>
      <c r="C23" s="3" t="s">
        <v>79</v>
      </c>
      <c r="D23" s="3" t="s">
        <v>80</v>
      </c>
      <c r="E23" s="3" t="s">
        <v>20</v>
      </c>
      <c r="F23" s="3">
        <v>1</v>
      </c>
      <c r="G23" s="4">
        <v>3793</v>
      </c>
      <c r="J23" s="3" t="s">
        <v>81</v>
      </c>
      <c r="K23" s="5">
        <v>8</v>
      </c>
      <c r="L23" s="8">
        <v>2.5000000000000001E-2</v>
      </c>
      <c r="M23" s="10">
        <f t="shared" si="0"/>
        <v>94.825000000000003</v>
      </c>
    </row>
    <row r="24" spans="1:13">
      <c r="A24" s="5">
        <v>18</v>
      </c>
      <c r="B24" s="6">
        <v>46001</v>
      </c>
      <c r="C24" s="3" t="s">
        <v>82</v>
      </c>
      <c r="D24" s="3" t="s">
        <v>83</v>
      </c>
      <c r="E24" s="3" t="s">
        <v>84</v>
      </c>
      <c r="F24" s="3">
        <v>1</v>
      </c>
      <c r="G24" s="4">
        <v>28.03</v>
      </c>
      <c r="I24" s="3" t="s">
        <v>16</v>
      </c>
      <c r="J24" s="3" t="s">
        <v>85</v>
      </c>
      <c r="K24" s="5">
        <v>8</v>
      </c>
      <c r="L24" s="8">
        <v>2.5000000000000001E-2</v>
      </c>
      <c r="M24" s="10">
        <f t="shared" si="0"/>
        <v>0.7007500000000001</v>
      </c>
    </row>
    <row r="25" spans="1:13">
      <c r="A25" s="5">
        <v>11</v>
      </c>
      <c r="B25" s="6">
        <v>46009</v>
      </c>
      <c r="C25" s="3" t="s">
        <v>86</v>
      </c>
      <c r="D25" s="3" t="s">
        <v>87</v>
      </c>
      <c r="E25" s="3" t="s">
        <v>88</v>
      </c>
      <c r="F25" s="3">
        <v>39</v>
      </c>
      <c r="G25" s="4">
        <v>362.09</v>
      </c>
      <c r="I25" s="3" t="s">
        <v>16</v>
      </c>
      <c r="J25" s="3" t="s">
        <v>89</v>
      </c>
      <c r="K25" s="5">
        <v>8</v>
      </c>
      <c r="L25" s="8">
        <v>2.5000000000000001E-2</v>
      </c>
      <c r="M25" s="10">
        <f t="shared" si="0"/>
        <v>9.052249999999999</v>
      </c>
    </row>
    <row r="26" spans="1:13">
      <c r="A26" s="5">
        <v>32</v>
      </c>
      <c r="B26" s="6">
        <v>46009</v>
      </c>
      <c r="C26" s="3" t="s">
        <v>90</v>
      </c>
      <c r="D26" s="3" t="s">
        <v>91</v>
      </c>
      <c r="E26" s="3" t="s">
        <v>20</v>
      </c>
      <c r="F26" s="3">
        <v>1</v>
      </c>
      <c r="G26" s="4">
        <v>1061.98</v>
      </c>
      <c r="J26" s="3" t="s">
        <v>92</v>
      </c>
      <c r="K26" s="5">
        <v>8</v>
      </c>
      <c r="L26" s="8">
        <v>2.5000000000000001E-2</v>
      </c>
      <c r="M26" s="10">
        <f t="shared" si="0"/>
        <v>26.549500000000002</v>
      </c>
    </row>
    <row r="27" spans="1:13">
      <c r="A27" s="5">
        <v>17</v>
      </c>
      <c r="B27" s="6">
        <v>46010</v>
      </c>
      <c r="C27" s="3" t="s">
        <v>93</v>
      </c>
      <c r="D27" s="3" t="s">
        <v>94</v>
      </c>
      <c r="E27" s="3" t="s">
        <v>95</v>
      </c>
      <c r="F27" s="3">
        <v>9</v>
      </c>
      <c r="G27" s="4">
        <v>509.45</v>
      </c>
      <c r="I27" s="3" t="s">
        <v>16</v>
      </c>
      <c r="J27" s="3" t="s">
        <v>96</v>
      </c>
      <c r="K27" s="5">
        <v>8</v>
      </c>
      <c r="L27" s="8">
        <v>2.5000000000000001E-2</v>
      </c>
      <c r="M27" s="10">
        <f t="shared" si="0"/>
        <v>12.73625</v>
      </c>
    </row>
    <row r="28" spans="1:13">
      <c r="A28" s="5">
        <v>35</v>
      </c>
      <c r="B28" s="6">
        <v>46010</v>
      </c>
      <c r="C28" s="3" t="s">
        <v>97</v>
      </c>
      <c r="D28" s="3" t="s">
        <v>98</v>
      </c>
      <c r="E28" s="3" t="s">
        <v>20</v>
      </c>
      <c r="F28" s="3">
        <v>1</v>
      </c>
      <c r="G28" s="4">
        <v>3243.49</v>
      </c>
      <c r="J28" s="3" t="s">
        <v>99</v>
      </c>
      <c r="K28" s="5">
        <v>8</v>
      </c>
      <c r="L28" s="8">
        <v>2.5000000000000001E-2</v>
      </c>
      <c r="M28" s="10">
        <f t="shared" si="0"/>
        <v>81.087249999999997</v>
      </c>
    </row>
    <row r="29" spans="1:13">
      <c r="A29" s="5">
        <v>27</v>
      </c>
      <c r="B29" s="6">
        <v>46020</v>
      </c>
      <c r="C29" s="3" t="s">
        <v>100</v>
      </c>
      <c r="D29" s="3" t="s">
        <v>101</v>
      </c>
      <c r="E29" s="3" t="s">
        <v>102</v>
      </c>
      <c r="F29" s="3">
        <v>11</v>
      </c>
      <c r="G29" s="4">
        <v>494.55</v>
      </c>
      <c r="I29" s="3" t="s">
        <v>16</v>
      </c>
      <c r="J29" s="3" t="s">
        <v>103</v>
      </c>
      <c r="K29" s="5">
        <v>8</v>
      </c>
      <c r="L29" s="8">
        <v>2.5000000000000001E-2</v>
      </c>
      <c r="M29" s="10">
        <f t="shared" si="0"/>
        <v>12.363750000000001</v>
      </c>
    </row>
    <row r="30" spans="1:13">
      <c r="A30" s="5">
        <v>18</v>
      </c>
      <c r="B30" s="6">
        <v>46003</v>
      </c>
      <c r="C30" s="3" t="s">
        <v>104</v>
      </c>
      <c r="D30" s="3" t="s">
        <v>105</v>
      </c>
      <c r="E30" s="3" t="s">
        <v>106</v>
      </c>
      <c r="F30" s="3">
        <v>11</v>
      </c>
      <c r="G30" s="4">
        <v>559.15</v>
      </c>
      <c r="I30" s="3" t="s">
        <v>16</v>
      </c>
      <c r="J30" s="3" t="s">
        <v>107</v>
      </c>
      <c r="K30" s="5">
        <v>9</v>
      </c>
      <c r="L30" s="8">
        <v>2.5000000000000001E-2</v>
      </c>
      <c r="M30" s="10">
        <f t="shared" si="0"/>
        <v>13.97875</v>
      </c>
    </row>
    <row r="31" spans="1:13">
      <c r="A31" s="5">
        <v>13</v>
      </c>
      <c r="B31" s="6">
        <v>46010</v>
      </c>
      <c r="C31" s="3" t="s">
        <v>108</v>
      </c>
      <c r="D31" s="3" t="s">
        <v>109</v>
      </c>
      <c r="E31" s="3" t="s">
        <v>110</v>
      </c>
      <c r="F31" s="3">
        <v>46</v>
      </c>
      <c r="G31" s="4">
        <v>321.82</v>
      </c>
      <c r="I31" s="3" t="s">
        <v>16</v>
      </c>
      <c r="J31" s="3" t="s">
        <v>111</v>
      </c>
      <c r="K31" s="5">
        <v>9</v>
      </c>
      <c r="L31" s="8">
        <v>2.5000000000000001E-2</v>
      </c>
      <c r="M31" s="10">
        <f t="shared" si="0"/>
        <v>8.0455000000000005</v>
      </c>
    </row>
    <row r="32" spans="1:13">
      <c r="A32" s="5">
        <v>37</v>
      </c>
      <c r="B32" s="6">
        <v>46010</v>
      </c>
      <c r="C32" s="3" t="s">
        <v>112</v>
      </c>
      <c r="D32" s="3" t="s">
        <v>113</v>
      </c>
      <c r="E32" s="3" t="s">
        <v>20</v>
      </c>
      <c r="F32" s="3">
        <v>1</v>
      </c>
      <c r="G32" s="4">
        <v>6620.58</v>
      </c>
      <c r="J32" s="3" t="s">
        <v>114</v>
      </c>
      <c r="K32" s="5">
        <v>9</v>
      </c>
      <c r="L32" s="8">
        <v>2.5000000000000001E-2</v>
      </c>
      <c r="M32" s="10">
        <f t="shared" si="0"/>
        <v>165.5145</v>
      </c>
    </row>
    <row r="33" spans="1:13">
      <c r="A33" s="5">
        <v>17</v>
      </c>
      <c r="B33" s="6">
        <v>46020</v>
      </c>
      <c r="C33" s="3" t="s">
        <v>115</v>
      </c>
      <c r="D33" s="3" t="s">
        <v>116</v>
      </c>
      <c r="E33" s="3" t="s">
        <v>117</v>
      </c>
      <c r="F33" s="3">
        <v>9</v>
      </c>
      <c r="G33" s="4">
        <v>1340.78</v>
      </c>
      <c r="I33" s="3" t="s">
        <v>16</v>
      </c>
      <c r="J33" s="3" t="s">
        <v>118</v>
      </c>
      <c r="K33" s="5">
        <v>9</v>
      </c>
      <c r="L33" s="8">
        <v>2.5000000000000001E-2</v>
      </c>
      <c r="M33" s="10">
        <f t="shared" si="0"/>
        <v>33.519500000000001</v>
      </c>
    </row>
    <row r="34" spans="1:13">
      <c r="A34" s="5">
        <v>22</v>
      </c>
      <c r="B34" s="6">
        <v>46020</v>
      </c>
      <c r="C34" s="3" t="s">
        <v>119</v>
      </c>
      <c r="D34" s="3" t="s">
        <v>120</v>
      </c>
      <c r="E34" s="3" t="s">
        <v>121</v>
      </c>
      <c r="F34" s="3">
        <v>10</v>
      </c>
      <c r="G34" s="4">
        <v>210.4</v>
      </c>
      <c r="I34" s="3" t="s">
        <v>16</v>
      </c>
      <c r="J34" s="3" t="s">
        <v>122</v>
      </c>
      <c r="K34" s="5">
        <v>9</v>
      </c>
      <c r="L34" s="8">
        <v>2.5000000000000001E-2</v>
      </c>
      <c r="M34" s="10">
        <f t="shared" si="0"/>
        <v>5.2600000000000007</v>
      </c>
    </row>
    <row r="35" spans="1:13">
      <c r="A35" s="5">
        <v>11</v>
      </c>
      <c r="B35" s="6">
        <v>45994</v>
      </c>
      <c r="C35" s="3" t="s">
        <v>123</v>
      </c>
      <c r="D35" s="3" t="s">
        <v>124</v>
      </c>
      <c r="E35" s="3" t="s">
        <v>20</v>
      </c>
      <c r="F35" s="3">
        <v>1</v>
      </c>
      <c r="G35" s="4">
        <v>4014.16</v>
      </c>
      <c r="J35" s="3" t="s">
        <v>125</v>
      </c>
      <c r="K35" s="5">
        <v>10</v>
      </c>
      <c r="L35" s="8">
        <v>2.5000000000000001E-2</v>
      </c>
      <c r="M35" s="10">
        <f t="shared" si="0"/>
        <v>100.354</v>
      </c>
    </row>
    <row r="36" spans="1:13">
      <c r="A36" s="5">
        <v>19</v>
      </c>
      <c r="B36" s="6">
        <v>45994</v>
      </c>
      <c r="C36" s="3" t="s">
        <v>126</v>
      </c>
      <c r="D36" s="3" t="s">
        <v>127</v>
      </c>
      <c r="E36" s="3" t="s">
        <v>20</v>
      </c>
      <c r="F36" s="3">
        <v>1</v>
      </c>
      <c r="G36" s="4">
        <v>1270.5899999999999</v>
      </c>
      <c r="I36" s="3" t="s">
        <v>16</v>
      </c>
      <c r="J36" s="3" t="s">
        <v>128</v>
      </c>
      <c r="K36" s="5">
        <v>10</v>
      </c>
      <c r="L36" s="8">
        <v>2.5000000000000001E-2</v>
      </c>
      <c r="M36" s="10">
        <f t="shared" si="0"/>
        <v>31.764749999999999</v>
      </c>
    </row>
    <row r="37" spans="1:13">
      <c r="A37" s="5">
        <v>14</v>
      </c>
      <c r="B37" s="6">
        <v>45994</v>
      </c>
      <c r="C37" s="3" t="s">
        <v>129</v>
      </c>
      <c r="D37" s="3" t="s">
        <v>130</v>
      </c>
      <c r="E37" s="3" t="s">
        <v>20</v>
      </c>
      <c r="F37" s="3">
        <v>1</v>
      </c>
      <c r="G37" s="4">
        <v>1534.69</v>
      </c>
      <c r="J37" s="3" t="s">
        <v>131</v>
      </c>
      <c r="K37" s="5">
        <v>10</v>
      </c>
      <c r="L37" s="8">
        <v>2.5000000000000001E-2</v>
      </c>
      <c r="M37" s="10">
        <f t="shared" si="0"/>
        <v>38.367250000000006</v>
      </c>
    </row>
    <row r="38" spans="1:13">
      <c r="A38" s="5">
        <v>13</v>
      </c>
      <c r="B38" s="6">
        <v>46003</v>
      </c>
      <c r="C38" s="3" t="s">
        <v>132</v>
      </c>
      <c r="D38" s="3" t="s">
        <v>133</v>
      </c>
      <c r="E38" s="3" t="s">
        <v>134</v>
      </c>
      <c r="F38" s="3">
        <v>12</v>
      </c>
      <c r="G38" s="4">
        <v>493.47</v>
      </c>
      <c r="I38" s="3" t="s">
        <v>16</v>
      </c>
      <c r="J38" s="3" t="s">
        <v>135</v>
      </c>
      <c r="K38" s="5">
        <v>10</v>
      </c>
      <c r="L38" s="8">
        <v>2.5000000000000001E-2</v>
      </c>
      <c r="M38" s="10">
        <f t="shared" si="0"/>
        <v>12.336750000000002</v>
      </c>
    </row>
    <row r="39" spans="1:13">
      <c r="A39" s="5">
        <v>11</v>
      </c>
      <c r="B39" s="6">
        <v>46006</v>
      </c>
      <c r="C39" s="3" t="s">
        <v>136</v>
      </c>
      <c r="D39" s="3" t="s">
        <v>137</v>
      </c>
      <c r="E39" s="3" t="s">
        <v>20</v>
      </c>
      <c r="F39" s="3">
        <v>1</v>
      </c>
      <c r="G39" s="4">
        <v>2000</v>
      </c>
      <c r="J39" s="3" t="s">
        <v>138</v>
      </c>
      <c r="K39" s="5">
        <v>10</v>
      </c>
      <c r="L39" s="8">
        <v>2.5000000000000001E-2</v>
      </c>
      <c r="M39" s="10">
        <f t="shared" si="0"/>
        <v>50</v>
      </c>
    </row>
    <row r="40" spans="1:13">
      <c r="A40" s="5">
        <v>16</v>
      </c>
      <c r="B40" s="6">
        <v>46006</v>
      </c>
      <c r="C40" s="3" t="s">
        <v>139</v>
      </c>
      <c r="D40" s="3" t="s">
        <v>140</v>
      </c>
      <c r="E40" s="3" t="s">
        <v>20</v>
      </c>
      <c r="F40" s="3">
        <v>1</v>
      </c>
      <c r="G40" s="4">
        <v>6712.26</v>
      </c>
      <c r="I40" s="3" t="s">
        <v>16</v>
      </c>
      <c r="J40" s="3" t="s">
        <v>141</v>
      </c>
      <c r="K40" s="5">
        <v>10</v>
      </c>
      <c r="L40" s="8">
        <v>2.5000000000000001E-2</v>
      </c>
      <c r="M40" s="10">
        <f t="shared" si="0"/>
        <v>167.80650000000003</v>
      </c>
    </row>
    <row r="41" spans="1:13">
      <c r="A41" s="5">
        <v>36</v>
      </c>
      <c r="B41" s="6">
        <v>46014</v>
      </c>
      <c r="C41" s="3" t="s">
        <v>142</v>
      </c>
      <c r="D41" s="3" t="s">
        <v>143</v>
      </c>
      <c r="E41" s="3" t="s">
        <v>20</v>
      </c>
      <c r="F41" s="3">
        <v>1</v>
      </c>
      <c r="G41" s="4">
        <v>2904</v>
      </c>
      <c r="J41" s="3" t="s">
        <v>144</v>
      </c>
      <c r="K41" s="5">
        <v>10</v>
      </c>
      <c r="L41" s="8">
        <v>2.5000000000000001E-2</v>
      </c>
      <c r="M41" s="10">
        <f t="shared" si="0"/>
        <v>72.600000000000009</v>
      </c>
    </row>
    <row r="42" spans="1:13">
      <c r="A42" s="5">
        <v>37</v>
      </c>
      <c r="B42" s="6">
        <v>46021</v>
      </c>
      <c r="C42" s="3" t="s">
        <v>145</v>
      </c>
      <c r="D42" s="3" t="s">
        <v>146</v>
      </c>
      <c r="E42" s="3" t="s">
        <v>147</v>
      </c>
      <c r="F42" s="3">
        <v>3</v>
      </c>
      <c r="G42" s="4">
        <v>1016.19</v>
      </c>
      <c r="I42" s="3">
        <v>3</v>
      </c>
      <c r="J42" s="3" t="s">
        <v>148</v>
      </c>
      <c r="K42" s="5">
        <v>10</v>
      </c>
      <c r="L42" s="8">
        <v>2.5000000000000001E-2</v>
      </c>
      <c r="M42" s="10">
        <f t="shared" si="0"/>
        <v>25.404750000000003</v>
      </c>
    </row>
    <row r="43" spans="1:13">
      <c r="A43" s="5">
        <v>18</v>
      </c>
      <c r="B43" s="6">
        <v>45992</v>
      </c>
      <c r="C43" s="3" t="s">
        <v>149</v>
      </c>
      <c r="D43" s="3" t="s">
        <v>150</v>
      </c>
      <c r="E43" s="3" t="s">
        <v>151</v>
      </c>
      <c r="F43" s="3">
        <v>19</v>
      </c>
      <c r="G43" s="4">
        <v>1673.16</v>
      </c>
      <c r="I43" s="3" t="s">
        <v>16</v>
      </c>
      <c r="J43" s="3" t="s">
        <v>152</v>
      </c>
      <c r="K43" s="5">
        <v>11</v>
      </c>
      <c r="L43" s="8">
        <v>2.5000000000000001E-2</v>
      </c>
      <c r="M43" s="10">
        <f t="shared" si="0"/>
        <v>41.829000000000008</v>
      </c>
    </row>
    <row r="44" spans="1:13">
      <c r="A44" s="5">
        <v>12</v>
      </c>
      <c r="B44" s="6">
        <v>45992</v>
      </c>
      <c r="C44" s="3" t="s">
        <v>153</v>
      </c>
      <c r="D44" s="3" t="s">
        <v>154</v>
      </c>
      <c r="E44" s="3" t="s">
        <v>155</v>
      </c>
      <c r="F44" s="3">
        <v>8</v>
      </c>
      <c r="G44" s="4">
        <v>1011.1</v>
      </c>
      <c r="I44" s="3" t="s">
        <v>16</v>
      </c>
      <c r="J44" s="3" t="s">
        <v>156</v>
      </c>
      <c r="K44" s="5">
        <v>11</v>
      </c>
      <c r="L44" s="8">
        <v>2.5000000000000001E-2</v>
      </c>
      <c r="M44" s="10">
        <f t="shared" si="0"/>
        <v>25.277500000000003</v>
      </c>
    </row>
    <row r="45" spans="1:13">
      <c r="A45" s="5">
        <v>14</v>
      </c>
      <c r="B45" s="6">
        <v>45995</v>
      </c>
      <c r="C45" s="3" t="s">
        <v>157</v>
      </c>
      <c r="D45" s="3" t="s">
        <v>158</v>
      </c>
      <c r="E45" s="3" t="s">
        <v>20</v>
      </c>
      <c r="F45" s="3">
        <v>1</v>
      </c>
      <c r="G45" s="4">
        <v>459.75</v>
      </c>
      <c r="J45" s="3" t="s">
        <v>159</v>
      </c>
      <c r="K45" s="5">
        <v>11</v>
      </c>
      <c r="L45" s="8">
        <v>2.5000000000000001E-2</v>
      </c>
      <c r="M45" s="10">
        <f t="shared" si="0"/>
        <v>11.49375</v>
      </c>
    </row>
    <row r="46" spans="1:13">
      <c r="A46" s="5">
        <v>17</v>
      </c>
      <c r="B46" s="6">
        <v>45993</v>
      </c>
      <c r="C46" s="3" t="s">
        <v>160</v>
      </c>
      <c r="D46" s="3" t="s">
        <v>161</v>
      </c>
      <c r="E46" s="3" t="s">
        <v>20</v>
      </c>
      <c r="F46" s="3">
        <v>1</v>
      </c>
      <c r="G46" s="4">
        <v>3000</v>
      </c>
      <c r="J46" s="3" t="s">
        <v>162</v>
      </c>
      <c r="K46" s="5">
        <v>12</v>
      </c>
      <c r="L46" s="8">
        <v>2.5000000000000001E-2</v>
      </c>
      <c r="M46" s="10">
        <f t="shared" si="0"/>
        <v>75</v>
      </c>
    </row>
    <row r="47" spans="1:13">
      <c r="A47" s="5">
        <v>15</v>
      </c>
      <c r="B47" s="6">
        <v>45996</v>
      </c>
      <c r="C47" s="3" t="s">
        <v>163</v>
      </c>
      <c r="D47" s="3" t="s">
        <v>164</v>
      </c>
      <c r="E47" s="3" t="s">
        <v>20</v>
      </c>
      <c r="F47" s="3">
        <v>1</v>
      </c>
      <c r="G47" s="4">
        <v>1500</v>
      </c>
      <c r="J47" s="3" t="s">
        <v>165</v>
      </c>
      <c r="K47" s="5">
        <v>12</v>
      </c>
      <c r="L47" s="8">
        <v>2.5000000000000001E-2</v>
      </c>
      <c r="M47" s="10">
        <f t="shared" si="0"/>
        <v>37.5</v>
      </c>
    </row>
    <row r="48" spans="1:13">
      <c r="A48" s="5">
        <v>12</v>
      </c>
      <c r="B48" s="6">
        <v>46008</v>
      </c>
      <c r="C48" s="3" t="s">
        <v>166</v>
      </c>
      <c r="D48" s="3" t="s">
        <v>167</v>
      </c>
      <c r="E48" s="3" t="s">
        <v>20</v>
      </c>
      <c r="F48" s="3">
        <v>1</v>
      </c>
      <c r="G48" s="4">
        <v>1105.79</v>
      </c>
      <c r="I48" s="3" t="s">
        <v>168</v>
      </c>
      <c r="J48" s="3" t="s">
        <v>169</v>
      </c>
      <c r="K48" s="5">
        <v>12</v>
      </c>
      <c r="L48" s="8">
        <v>2.5000000000000001E-2</v>
      </c>
      <c r="M48" s="10">
        <f t="shared" si="0"/>
        <v>27.644750000000002</v>
      </c>
    </row>
    <row r="49" spans="1:13">
      <c r="A49" s="5">
        <v>14</v>
      </c>
      <c r="B49" s="6">
        <v>46013</v>
      </c>
      <c r="C49" s="3" t="s">
        <v>170</v>
      </c>
      <c r="D49" s="3" t="s">
        <v>171</v>
      </c>
      <c r="E49" s="3" t="s">
        <v>20</v>
      </c>
      <c r="F49" s="3">
        <v>1</v>
      </c>
      <c r="G49" s="4">
        <v>1527.33</v>
      </c>
      <c r="J49" s="3" t="s">
        <v>172</v>
      </c>
      <c r="K49" s="5">
        <v>12</v>
      </c>
      <c r="L49" s="8">
        <v>2.5000000000000001E-2</v>
      </c>
      <c r="M49" s="10">
        <f t="shared" si="0"/>
        <v>38.183250000000001</v>
      </c>
    </row>
    <row r="50" spans="1:13">
      <c r="A50" s="5">
        <v>29</v>
      </c>
      <c r="B50" s="6">
        <v>46020</v>
      </c>
      <c r="C50" s="3" t="s">
        <v>173</v>
      </c>
      <c r="D50" s="3" t="s">
        <v>174</v>
      </c>
      <c r="E50" s="3" t="s">
        <v>175</v>
      </c>
      <c r="F50" s="3">
        <v>8</v>
      </c>
      <c r="G50" s="4">
        <v>2099.7399999999998</v>
      </c>
      <c r="I50" s="3" t="s">
        <v>16</v>
      </c>
      <c r="J50" s="3" t="s">
        <v>176</v>
      </c>
      <c r="K50" s="5">
        <v>12</v>
      </c>
      <c r="L50" s="8">
        <v>2.5000000000000001E-2</v>
      </c>
      <c r="M50" s="10">
        <f t="shared" si="0"/>
        <v>52.493499999999997</v>
      </c>
    </row>
    <row r="51" spans="1:13">
      <c r="A51" s="5">
        <v>28</v>
      </c>
      <c r="B51" s="6">
        <v>46021</v>
      </c>
      <c r="C51" s="3" t="s">
        <v>177</v>
      </c>
      <c r="D51" s="3" t="s">
        <v>178</v>
      </c>
      <c r="E51" s="3" t="s">
        <v>179</v>
      </c>
      <c r="F51" s="3">
        <v>12</v>
      </c>
      <c r="G51" s="4">
        <v>262.83</v>
      </c>
      <c r="I51" s="3">
        <v>4</v>
      </c>
      <c r="J51" s="3" t="s">
        <v>180</v>
      </c>
      <c r="K51" s="5">
        <v>12</v>
      </c>
      <c r="L51" s="8">
        <v>2.5000000000000001E-2</v>
      </c>
      <c r="M51" s="10">
        <f t="shared" si="0"/>
        <v>6.5707500000000003</v>
      </c>
    </row>
    <row r="52" spans="1:13">
      <c r="A52" s="5">
        <v>16</v>
      </c>
      <c r="B52" s="6">
        <v>46013</v>
      </c>
      <c r="C52" s="3" t="s">
        <v>181</v>
      </c>
      <c r="D52" s="3" t="s">
        <v>182</v>
      </c>
      <c r="E52" s="3" t="s">
        <v>20</v>
      </c>
      <c r="F52" s="3">
        <v>1</v>
      </c>
      <c r="G52" s="4">
        <v>3194.91</v>
      </c>
      <c r="J52" s="3" t="s">
        <v>183</v>
      </c>
      <c r="K52" s="5">
        <v>12</v>
      </c>
      <c r="L52" s="8">
        <v>2.5000000000000001E-2</v>
      </c>
      <c r="M52" s="10">
        <f t="shared" si="0"/>
        <v>79.872749999999996</v>
      </c>
    </row>
    <row r="53" spans="1:13">
      <c r="A53" s="5">
        <v>37</v>
      </c>
      <c r="B53" s="6">
        <v>45994</v>
      </c>
      <c r="C53" s="3" t="s">
        <v>184</v>
      </c>
      <c r="D53" s="3" t="s">
        <v>185</v>
      </c>
      <c r="E53" s="3" t="s">
        <v>20</v>
      </c>
      <c r="F53" s="3">
        <v>1</v>
      </c>
      <c r="G53" s="4">
        <v>13372.5</v>
      </c>
      <c r="J53" s="3" t="s">
        <v>186</v>
      </c>
      <c r="K53" s="5">
        <v>13</v>
      </c>
      <c r="L53" s="8">
        <v>2.5000000000000001E-2</v>
      </c>
      <c r="M53" s="10">
        <f t="shared" si="0"/>
        <v>334.3125</v>
      </c>
    </row>
    <row r="54" spans="1:13">
      <c r="A54" s="5">
        <v>18</v>
      </c>
      <c r="B54" s="6">
        <v>46007</v>
      </c>
      <c r="C54" s="3" t="s">
        <v>187</v>
      </c>
      <c r="D54" s="3" t="s">
        <v>188</v>
      </c>
      <c r="E54" s="3" t="s">
        <v>20</v>
      </c>
      <c r="F54" s="3">
        <v>1</v>
      </c>
      <c r="G54" s="4">
        <v>1039.46</v>
      </c>
      <c r="J54" s="3" t="s">
        <v>189</v>
      </c>
      <c r="K54" s="5">
        <v>13</v>
      </c>
      <c r="L54" s="8">
        <v>2.5000000000000001E-2</v>
      </c>
      <c r="M54" s="10">
        <f t="shared" si="0"/>
        <v>25.986500000000003</v>
      </c>
    </row>
    <row r="55" spans="1:13">
      <c r="A55" s="5">
        <v>22</v>
      </c>
      <c r="B55" s="6">
        <v>46014</v>
      </c>
      <c r="C55" s="3" t="s">
        <v>190</v>
      </c>
      <c r="D55" s="3" t="s">
        <v>191</v>
      </c>
      <c r="E55" s="3" t="s">
        <v>20</v>
      </c>
      <c r="F55" s="3">
        <v>1</v>
      </c>
      <c r="G55" s="4">
        <v>1017.97</v>
      </c>
      <c r="J55" s="3" t="s">
        <v>192</v>
      </c>
      <c r="K55" s="5">
        <v>13</v>
      </c>
      <c r="L55" s="8">
        <v>2.5000000000000001E-2</v>
      </c>
      <c r="M55" s="10">
        <f t="shared" si="0"/>
        <v>25.449250000000003</v>
      </c>
    </row>
    <row r="56" spans="1:13">
      <c r="A56" s="5">
        <v>19</v>
      </c>
      <c r="B56" s="6">
        <v>46014</v>
      </c>
      <c r="C56" s="3" t="s">
        <v>193</v>
      </c>
      <c r="D56" s="3" t="s">
        <v>194</v>
      </c>
      <c r="E56" s="3" t="s">
        <v>20</v>
      </c>
      <c r="F56" s="3">
        <v>1</v>
      </c>
      <c r="G56" s="4">
        <v>10787.58</v>
      </c>
      <c r="J56" s="3" t="s">
        <v>195</v>
      </c>
      <c r="K56" s="5">
        <v>13</v>
      </c>
      <c r="L56" s="8">
        <v>2.5000000000000001E-2</v>
      </c>
      <c r="M56" s="10">
        <f t="shared" si="0"/>
        <v>269.68950000000001</v>
      </c>
    </row>
    <row r="57" spans="1:13">
      <c r="A57" s="5">
        <v>21</v>
      </c>
      <c r="B57" s="6">
        <v>46017</v>
      </c>
      <c r="C57" s="3" t="s">
        <v>196</v>
      </c>
      <c r="D57" s="3" t="s">
        <v>197</v>
      </c>
      <c r="E57" s="3" t="s">
        <v>20</v>
      </c>
      <c r="F57" s="3">
        <v>1</v>
      </c>
      <c r="G57" s="4">
        <v>2038.61</v>
      </c>
      <c r="I57" s="3">
        <v>2</v>
      </c>
      <c r="J57" s="3" t="s">
        <v>198</v>
      </c>
      <c r="K57" s="5">
        <v>13</v>
      </c>
      <c r="L57" s="8">
        <v>2.5000000000000001E-2</v>
      </c>
      <c r="M57" s="10">
        <f t="shared" si="0"/>
        <v>50.965249999999997</v>
      </c>
    </row>
    <row r="58" spans="1:13">
      <c r="A58" s="5">
        <v>35</v>
      </c>
      <c r="B58" s="6">
        <v>45993</v>
      </c>
      <c r="C58" s="3" t="s">
        <v>199</v>
      </c>
      <c r="D58" s="3" t="s">
        <v>200</v>
      </c>
      <c r="E58" s="3" t="s">
        <v>20</v>
      </c>
      <c r="F58" s="3">
        <v>1</v>
      </c>
      <c r="G58" s="4">
        <v>6900</v>
      </c>
      <c r="J58" s="3" t="s">
        <v>201</v>
      </c>
      <c r="K58" s="5">
        <v>14</v>
      </c>
      <c r="L58" s="8">
        <v>2.5000000000000001E-2</v>
      </c>
      <c r="M58" s="10">
        <f t="shared" si="0"/>
        <v>172.5</v>
      </c>
    </row>
    <row r="59" spans="1:13">
      <c r="A59" s="5">
        <v>17</v>
      </c>
      <c r="B59" s="6">
        <v>45995</v>
      </c>
      <c r="C59" s="3" t="s">
        <v>202</v>
      </c>
      <c r="D59" s="3" t="s">
        <v>203</v>
      </c>
      <c r="E59" s="3" t="s">
        <v>20</v>
      </c>
      <c r="F59" s="3">
        <v>1</v>
      </c>
      <c r="G59" s="4">
        <v>1297.22</v>
      </c>
      <c r="J59" s="3" t="s">
        <v>204</v>
      </c>
      <c r="K59" s="5">
        <v>14</v>
      </c>
      <c r="L59" s="8">
        <v>2.5000000000000001E-2</v>
      </c>
      <c r="M59" s="10">
        <f t="shared" si="0"/>
        <v>32.430500000000002</v>
      </c>
    </row>
    <row r="60" spans="1:13">
      <c r="A60" s="5">
        <v>33</v>
      </c>
      <c r="B60" s="6">
        <v>45995</v>
      </c>
      <c r="C60" s="3" t="s">
        <v>205</v>
      </c>
      <c r="D60" s="3" t="s">
        <v>206</v>
      </c>
      <c r="E60" s="3" t="s">
        <v>20</v>
      </c>
      <c r="F60" s="3">
        <v>1</v>
      </c>
      <c r="G60" s="4">
        <v>694.45</v>
      </c>
      <c r="J60" s="3" t="s">
        <v>207</v>
      </c>
      <c r="K60" s="5">
        <v>14</v>
      </c>
      <c r="L60" s="8">
        <v>2.5000000000000001E-2</v>
      </c>
      <c r="M60" s="10">
        <f t="shared" si="0"/>
        <v>17.361250000000002</v>
      </c>
    </row>
    <row r="61" spans="1:13">
      <c r="A61" s="5">
        <v>33</v>
      </c>
      <c r="B61" s="6">
        <v>46003</v>
      </c>
      <c r="C61" s="3" t="s">
        <v>208</v>
      </c>
      <c r="D61" s="3" t="s">
        <v>209</v>
      </c>
      <c r="E61" s="3" t="s">
        <v>210</v>
      </c>
      <c r="F61" s="3">
        <v>10</v>
      </c>
      <c r="G61" s="4">
        <v>1008.69</v>
      </c>
      <c r="I61" s="3" t="s">
        <v>16</v>
      </c>
      <c r="J61" s="3" t="s">
        <v>211</v>
      </c>
      <c r="K61" s="5">
        <v>14</v>
      </c>
      <c r="L61" s="8">
        <v>2.5000000000000001E-2</v>
      </c>
      <c r="M61" s="10">
        <f t="shared" si="0"/>
        <v>25.217250000000003</v>
      </c>
    </row>
    <row r="62" spans="1:13">
      <c r="A62" s="5">
        <v>16</v>
      </c>
      <c r="B62" s="6">
        <v>46008</v>
      </c>
      <c r="C62" s="3" t="s">
        <v>212</v>
      </c>
      <c r="D62" s="3" t="s">
        <v>213</v>
      </c>
      <c r="E62" s="3" t="s">
        <v>20</v>
      </c>
      <c r="F62" s="3">
        <v>1</v>
      </c>
      <c r="G62" s="4">
        <v>6029.66</v>
      </c>
      <c r="I62" s="3">
        <v>2</v>
      </c>
      <c r="J62" s="3" t="s">
        <v>214</v>
      </c>
      <c r="K62" s="5">
        <v>14</v>
      </c>
      <c r="L62" s="8">
        <v>2.5000000000000001E-2</v>
      </c>
      <c r="M62" s="10">
        <f t="shared" si="0"/>
        <v>150.7415</v>
      </c>
    </row>
    <row r="63" spans="1:13">
      <c r="A63" s="5">
        <v>32</v>
      </c>
      <c r="B63" s="6">
        <v>46008</v>
      </c>
      <c r="C63" s="3" t="s">
        <v>215</v>
      </c>
      <c r="D63" s="3" t="s">
        <v>216</v>
      </c>
      <c r="E63" s="3" t="s">
        <v>20</v>
      </c>
      <c r="F63" s="3">
        <v>1</v>
      </c>
      <c r="G63" s="4">
        <v>2031.06</v>
      </c>
      <c r="J63" s="3" t="s">
        <v>217</v>
      </c>
      <c r="K63" s="5">
        <v>14</v>
      </c>
      <c r="L63" s="8">
        <v>2.5000000000000001E-2</v>
      </c>
      <c r="M63" s="10">
        <f t="shared" si="0"/>
        <v>50.776499999999999</v>
      </c>
    </row>
    <row r="64" spans="1:13">
      <c r="A64" s="5">
        <v>33</v>
      </c>
      <c r="B64" s="6">
        <v>46010</v>
      </c>
      <c r="C64" s="3" t="s">
        <v>218</v>
      </c>
      <c r="D64" s="3" t="s">
        <v>219</v>
      </c>
      <c r="E64" s="3" t="s">
        <v>220</v>
      </c>
      <c r="F64" s="3">
        <v>1</v>
      </c>
      <c r="G64" s="4">
        <v>1828.53</v>
      </c>
      <c r="I64" s="3">
        <v>4</v>
      </c>
      <c r="J64" s="3" t="s">
        <v>221</v>
      </c>
      <c r="K64" s="5">
        <v>14</v>
      </c>
      <c r="L64" s="8">
        <v>2.5000000000000001E-2</v>
      </c>
      <c r="M64" s="10">
        <f t="shared" si="0"/>
        <v>45.713250000000002</v>
      </c>
    </row>
    <row r="65" spans="1:13">
      <c r="A65" s="5">
        <v>12</v>
      </c>
      <c r="B65" s="6">
        <v>46010</v>
      </c>
      <c r="C65" s="3" t="s">
        <v>222</v>
      </c>
      <c r="D65" s="3" t="s">
        <v>223</v>
      </c>
      <c r="E65" s="3" t="s">
        <v>20</v>
      </c>
      <c r="F65" s="3">
        <v>1</v>
      </c>
      <c r="G65" s="4">
        <v>5308.86</v>
      </c>
      <c r="J65" s="3" t="s">
        <v>224</v>
      </c>
      <c r="K65" s="5">
        <v>14</v>
      </c>
      <c r="L65" s="8">
        <v>2.5000000000000001E-2</v>
      </c>
      <c r="M65" s="10">
        <f t="shared" si="0"/>
        <v>132.72149999999999</v>
      </c>
    </row>
    <row r="66" spans="1:13">
      <c r="A66" s="5">
        <v>32</v>
      </c>
      <c r="B66" s="6">
        <v>46020</v>
      </c>
      <c r="C66" s="3" t="s">
        <v>225</v>
      </c>
      <c r="D66" s="3" t="s">
        <v>226</v>
      </c>
      <c r="E66" s="3" t="s">
        <v>20</v>
      </c>
      <c r="F66" s="3">
        <v>1</v>
      </c>
      <c r="G66" s="4">
        <v>4293.88</v>
      </c>
      <c r="J66" s="3" t="s">
        <v>227</v>
      </c>
      <c r="K66" s="5">
        <v>14</v>
      </c>
      <c r="L66" s="8">
        <v>2.5000000000000001E-2</v>
      </c>
      <c r="M66" s="10">
        <f t="shared" si="0"/>
        <v>107.34700000000001</v>
      </c>
    </row>
    <row r="67" spans="1:13">
      <c r="A67" s="5">
        <v>19</v>
      </c>
      <c r="B67" s="6">
        <v>45996</v>
      </c>
      <c r="C67" s="3" t="s">
        <v>228</v>
      </c>
      <c r="D67" s="3" t="s">
        <v>229</v>
      </c>
      <c r="E67" s="3" t="s">
        <v>20</v>
      </c>
      <c r="F67" s="3">
        <v>1</v>
      </c>
      <c r="G67" s="4">
        <v>3097.85</v>
      </c>
      <c r="J67" s="3" t="s">
        <v>230</v>
      </c>
      <c r="K67" s="5">
        <v>15</v>
      </c>
      <c r="L67" s="8">
        <v>2.5000000000000001E-2</v>
      </c>
      <c r="M67" s="10">
        <f t="shared" si="0"/>
        <v>77.446250000000006</v>
      </c>
    </row>
    <row r="68" spans="1:13">
      <c r="A68" s="5">
        <v>12</v>
      </c>
      <c r="B68" s="6">
        <v>45999</v>
      </c>
      <c r="C68" s="3" t="s">
        <v>231</v>
      </c>
      <c r="D68" s="3" t="s">
        <v>232</v>
      </c>
      <c r="E68" s="3" t="s">
        <v>233</v>
      </c>
      <c r="F68" s="3">
        <v>28</v>
      </c>
      <c r="G68" s="4">
        <v>1843.78</v>
      </c>
      <c r="I68" s="3" t="s">
        <v>168</v>
      </c>
      <c r="J68" s="3" t="s">
        <v>234</v>
      </c>
      <c r="K68" s="5">
        <v>15</v>
      </c>
      <c r="L68" s="8">
        <v>2.5000000000000001E-2</v>
      </c>
      <c r="M68" s="10">
        <f t="shared" ref="M68:M131" si="1">L68*G68</f>
        <v>46.094500000000004</v>
      </c>
    </row>
    <row r="69" spans="1:13">
      <c r="A69" s="5">
        <v>29</v>
      </c>
      <c r="B69" s="6">
        <v>46013</v>
      </c>
      <c r="C69" s="3" t="s">
        <v>235</v>
      </c>
      <c r="D69" s="3" t="s">
        <v>236</v>
      </c>
      <c r="E69" s="3" t="s">
        <v>237</v>
      </c>
      <c r="F69" s="3">
        <v>23</v>
      </c>
      <c r="G69" s="4">
        <v>1290.42</v>
      </c>
      <c r="I69" s="3">
        <v>2</v>
      </c>
      <c r="J69" s="3" t="s">
        <v>238</v>
      </c>
      <c r="K69" s="5">
        <v>15</v>
      </c>
      <c r="L69" s="8">
        <v>2.5000000000000001E-2</v>
      </c>
      <c r="M69" s="10">
        <f t="shared" si="1"/>
        <v>32.2605</v>
      </c>
    </row>
    <row r="70" spans="1:13">
      <c r="A70" s="5">
        <v>23</v>
      </c>
      <c r="B70" s="6">
        <v>46017</v>
      </c>
      <c r="C70" s="3" t="s">
        <v>239</v>
      </c>
      <c r="D70" s="3" t="s">
        <v>240</v>
      </c>
      <c r="E70" s="3" t="s">
        <v>20</v>
      </c>
      <c r="F70" s="3">
        <v>1</v>
      </c>
      <c r="G70" s="4">
        <v>3530.07</v>
      </c>
      <c r="J70" s="3" t="s">
        <v>241</v>
      </c>
      <c r="K70" s="5">
        <v>16</v>
      </c>
      <c r="L70" s="8">
        <v>2.5000000000000001E-2</v>
      </c>
      <c r="M70" s="10">
        <f t="shared" si="1"/>
        <v>88.251750000000015</v>
      </c>
    </row>
    <row r="71" spans="1:13">
      <c r="A71" s="5">
        <v>13</v>
      </c>
      <c r="B71" s="6">
        <v>46008</v>
      </c>
      <c r="C71" s="3" t="s">
        <v>242</v>
      </c>
      <c r="D71" s="3" t="s">
        <v>243</v>
      </c>
      <c r="E71" s="3" t="s">
        <v>244</v>
      </c>
      <c r="F71" s="3">
        <v>33</v>
      </c>
      <c r="G71" s="4">
        <v>646.9</v>
      </c>
      <c r="I71" s="3" t="s">
        <v>16</v>
      </c>
      <c r="J71" s="3" t="s">
        <v>245</v>
      </c>
      <c r="K71" s="5">
        <v>17</v>
      </c>
      <c r="L71" s="8">
        <v>2.5000000000000001E-2</v>
      </c>
      <c r="M71" s="10">
        <f t="shared" si="1"/>
        <v>16.172499999999999</v>
      </c>
    </row>
    <row r="72" spans="1:13">
      <c r="A72" s="5">
        <v>11</v>
      </c>
      <c r="B72" s="6">
        <v>45992</v>
      </c>
      <c r="C72" s="3" t="s">
        <v>246</v>
      </c>
      <c r="D72" s="3" t="s">
        <v>247</v>
      </c>
      <c r="E72" s="3" t="s">
        <v>20</v>
      </c>
      <c r="F72" s="3">
        <v>1</v>
      </c>
      <c r="G72" s="4">
        <v>5783.57</v>
      </c>
      <c r="I72" s="3" t="s">
        <v>16</v>
      </c>
      <c r="J72" s="3" t="s">
        <v>248</v>
      </c>
      <c r="K72" s="5">
        <v>18</v>
      </c>
      <c r="L72" s="8">
        <v>2.5000000000000001E-2</v>
      </c>
      <c r="M72" s="10">
        <f t="shared" si="1"/>
        <v>144.58924999999999</v>
      </c>
    </row>
    <row r="73" spans="1:13">
      <c r="A73" s="5">
        <v>34</v>
      </c>
      <c r="B73" s="6">
        <v>45999</v>
      </c>
      <c r="C73" s="3" t="s">
        <v>249</v>
      </c>
      <c r="D73" s="3" t="s">
        <v>250</v>
      </c>
      <c r="E73" s="3" t="s">
        <v>251</v>
      </c>
      <c r="F73" s="3">
        <v>7</v>
      </c>
      <c r="G73" s="4">
        <v>748.99</v>
      </c>
      <c r="I73" s="3" t="s">
        <v>16</v>
      </c>
      <c r="J73" s="3" t="s">
        <v>252</v>
      </c>
      <c r="K73" s="5">
        <v>18</v>
      </c>
      <c r="L73" s="8">
        <v>2.5000000000000001E-2</v>
      </c>
      <c r="M73" s="10">
        <f t="shared" si="1"/>
        <v>18.72475</v>
      </c>
    </row>
    <row r="74" spans="1:13">
      <c r="A74" s="5">
        <v>19</v>
      </c>
      <c r="B74" s="6">
        <v>46000</v>
      </c>
      <c r="C74" s="3" t="s">
        <v>253</v>
      </c>
      <c r="D74" s="3" t="s">
        <v>254</v>
      </c>
      <c r="E74" s="3" t="s">
        <v>255</v>
      </c>
      <c r="F74" s="3">
        <v>1</v>
      </c>
      <c r="G74" s="4">
        <v>59179.69</v>
      </c>
      <c r="I74" s="3">
        <v>1</v>
      </c>
      <c r="J74" s="3" t="s">
        <v>256</v>
      </c>
      <c r="K74" s="5">
        <v>19</v>
      </c>
      <c r="L74" s="8">
        <v>2.5000000000000001E-2</v>
      </c>
      <c r="M74" s="10">
        <f t="shared" si="1"/>
        <v>1479.4922500000002</v>
      </c>
    </row>
    <row r="75" spans="1:13">
      <c r="A75" s="5">
        <v>18</v>
      </c>
      <c r="B75" s="6">
        <v>46001</v>
      </c>
      <c r="C75" s="3" t="s">
        <v>257</v>
      </c>
      <c r="D75" s="3" t="s">
        <v>258</v>
      </c>
      <c r="E75" s="3" t="s">
        <v>259</v>
      </c>
      <c r="F75" s="3">
        <v>1</v>
      </c>
      <c r="G75" s="4">
        <v>34426.26</v>
      </c>
      <c r="I75" s="3">
        <v>1</v>
      </c>
      <c r="J75" s="3" t="s">
        <v>260</v>
      </c>
      <c r="K75" s="5">
        <v>19</v>
      </c>
      <c r="L75" s="8">
        <v>2.5000000000000001E-2</v>
      </c>
      <c r="M75" s="10">
        <f t="shared" si="1"/>
        <v>860.65650000000005</v>
      </c>
    </row>
    <row r="76" spans="1:13">
      <c r="A76" s="5">
        <v>26</v>
      </c>
      <c r="B76" s="6">
        <v>46003</v>
      </c>
      <c r="C76" s="3" t="s">
        <v>261</v>
      </c>
      <c r="D76" s="3" t="s">
        <v>262</v>
      </c>
      <c r="E76" s="3" t="s">
        <v>20</v>
      </c>
      <c r="F76" s="3">
        <v>1</v>
      </c>
      <c r="G76" s="4">
        <v>12599.81</v>
      </c>
      <c r="J76" s="3" t="s">
        <v>263</v>
      </c>
      <c r="K76" s="5">
        <v>19</v>
      </c>
      <c r="L76" s="8">
        <v>2.5000000000000001E-2</v>
      </c>
      <c r="M76" s="10">
        <f t="shared" si="1"/>
        <v>314.99525</v>
      </c>
    </row>
    <row r="77" spans="1:13">
      <c r="A77" s="5">
        <v>28</v>
      </c>
      <c r="B77" s="6">
        <v>46003</v>
      </c>
      <c r="C77" s="3" t="s">
        <v>264</v>
      </c>
      <c r="D77" s="3" t="s">
        <v>265</v>
      </c>
      <c r="E77" s="3" t="s">
        <v>20</v>
      </c>
      <c r="F77" s="3">
        <v>1</v>
      </c>
      <c r="G77" s="4">
        <v>718.35</v>
      </c>
      <c r="J77" s="3" t="s">
        <v>266</v>
      </c>
      <c r="K77" s="5">
        <v>19</v>
      </c>
      <c r="L77" s="8">
        <v>2.5000000000000001E-2</v>
      </c>
      <c r="M77" s="10">
        <f t="shared" si="1"/>
        <v>17.958750000000002</v>
      </c>
    </row>
    <row r="78" spans="1:13">
      <c r="A78" s="5">
        <v>26</v>
      </c>
      <c r="B78" s="6">
        <v>46008</v>
      </c>
      <c r="C78" s="3" t="s">
        <v>267</v>
      </c>
      <c r="D78" s="3" t="s">
        <v>268</v>
      </c>
      <c r="E78" s="3" t="s">
        <v>269</v>
      </c>
      <c r="F78" s="3">
        <v>1</v>
      </c>
      <c r="G78" s="4">
        <v>2110.2199999999998</v>
      </c>
      <c r="I78" s="3" t="s">
        <v>16</v>
      </c>
      <c r="J78" s="3" t="s">
        <v>270</v>
      </c>
      <c r="K78" s="5">
        <v>19</v>
      </c>
      <c r="L78" s="8">
        <v>2.5000000000000001E-2</v>
      </c>
      <c r="M78" s="10">
        <f t="shared" si="1"/>
        <v>52.755499999999998</v>
      </c>
    </row>
    <row r="79" spans="1:13">
      <c r="A79" s="5">
        <v>14</v>
      </c>
      <c r="B79" s="6">
        <v>46020</v>
      </c>
      <c r="C79" s="3" t="s">
        <v>271</v>
      </c>
      <c r="D79" s="3" t="s">
        <v>272</v>
      </c>
      <c r="E79" s="3" t="s">
        <v>273</v>
      </c>
      <c r="F79" s="3">
        <v>12</v>
      </c>
      <c r="G79" s="4">
        <v>80</v>
      </c>
      <c r="I79" s="3" t="s">
        <v>16</v>
      </c>
      <c r="J79" s="3" t="s">
        <v>274</v>
      </c>
      <c r="K79" s="5">
        <v>19</v>
      </c>
      <c r="L79" s="8">
        <v>2.5000000000000001E-2</v>
      </c>
      <c r="M79" s="10">
        <f t="shared" si="1"/>
        <v>2</v>
      </c>
    </row>
    <row r="80" spans="1:13">
      <c r="A80" s="5">
        <v>25</v>
      </c>
      <c r="B80" s="6">
        <v>45996</v>
      </c>
      <c r="C80" s="3" t="s">
        <v>275</v>
      </c>
      <c r="D80" s="3" t="s">
        <v>276</v>
      </c>
      <c r="E80" s="3" t="s">
        <v>20</v>
      </c>
      <c r="F80" s="3">
        <v>1</v>
      </c>
      <c r="G80" s="4">
        <v>1077.8699999999999</v>
      </c>
      <c r="J80" s="3" t="s">
        <v>277</v>
      </c>
      <c r="K80" s="5">
        <v>20</v>
      </c>
      <c r="L80" s="8">
        <v>2.5000000000000001E-2</v>
      </c>
      <c r="M80" s="10">
        <f t="shared" si="1"/>
        <v>26.946749999999998</v>
      </c>
    </row>
    <row r="81" spans="1:13">
      <c r="A81" s="5">
        <v>34</v>
      </c>
      <c r="B81" s="6">
        <v>45999</v>
      </c>
      <c r="C81" s="3" t="s">
        <v>278</v>
      </c>
      <c r="D81" s="3" t="s">
        <v>279</v>
      </c>
      <c r="E81" s="3" t="s">
        <v>280</v>
      </c>
      <c r="F81" s="3">
        <v>4</v>
      </c>
      <c r="G81" s="4">
        <v>724.68</v>
      </c>
      <c r="I81" s="3" t="s">
        <v>281</v>
      </c>
      <c r="J81" s="3" t="s">
        <v>282</v>
      </c>
      <c r="K81" s="5">
        <v>20</v>
      </c>
      <c r="L81" s="8">
        <v>2.5000000000000001E-2</v>
      </c>
      <c r="M81" s="10">
        <f t="shared" si="1"/>
        <v>18.117000000000001</v>
      </c>
    </row>
    <row r="82" spans="1:13">
      <c r="A82" s="5">
        <v>17</v>
      </c>
      <c r="B82" s="6">
        <v>46001</v>
      </c>
      <c r="C82" s="3" t="s">
        <v>283</v>
      </c>
      <c r="D82" s="3" t="s">
        <v>284</v>
      </c>
      <c r="E82" s="3" t="s">
        <v>285</v>
      </c>
      <c r="F82" s="3">
        <v>3</v>
      </c>
      <c r="G82" s="4">
        <v>786.82</v>
      </c>
      <c r="I82" s="3" t="s">
        <v>16</v>
      </c>
      <c r="J82" s="3" t="s">
        <v>286</v>
      </c>
      <c r="K82" s="5">
        <v>20</v>
      </c>
      <c r="L82" s="8">
        <v>2.5000000000000001E-2</v>
      </c>
      <c r="M82" s="10">
        <f t="shared" si="1"/>
        <v>19.670500000000004</v>
      </c>
    </row>
    <row r="83" spans="1:13">
      <c r="A83" s="5">
        <v>30</v>
      </c>
      <c r="B83" s="6">
        <v>46001</v>
      </c>
      <c r="C83" s="3" t="s">
        <v>287</v>
      </c>
      <c r="D83" s="3" t="s">
        <v>288</v>
      </c>
      <c r="E83" s="3" t="s">
        <v>289</v>
      </c>
      <c r="F83" s="3">
        <v>6</v>
      </c>
      <c r="G83" s="4">
        <v>123.9</v>
      </c>
      <c r="I83" s="3" t="s">
        <v>16</v>
      </c>
      <c r="J83" s="3" t="s">
        <v>290</v>
      </c>
      <c r="K83" s="5">
        <v>20</v>
      </c>
      <c r="L83" s="8">
        <v>2.5000000000000001E-2</v>
      </c>
      <c r="M83" s="10">
        <f t="shared" si="1"/>
        <v>3.0975000000000001</v>
      </c>
    </row>
    <row r="84" spans="1:13">
      <c r="A84" s="5">
        <v>19</v>
      </c>
      <c r="B84" s="6">
        <v>46002</v>
      </c>
      <c r="C84" s="3" t="s">
        <v>291</v>
      </c>
      <c r="D84" s="3" t="s">
        <v>292</v>
      </c>
      <c r="E84" s="3" t="s">
        <v>293</v>
      </c>
      <c r="F84" s="3" t="s">
        <v>294</v>
      </c>
      <c r="G84" s="4">
        <v>3460.91</v>
      </c>
      <c r="I84" s="3">
        <v>2</v>
      </c>
      <c r="J84" s="3" t="s">
        <v>295</v>
      </c>
      <c r="K84" s="5">
        <v>20</v>
      </c>
      <c r="L84" s="8">
        <v>2.5000000000000001E-2</v>
      </c>
      <c r="M84" s="10">
        <f t="shared" si="1"/>
        <v>86.522750000000002</v>
      </c>
    </row>
    <row r="85" spans="1:13">
      <c r="A85" s="5">
        <v>28</v>
      </c>
      <c r="B85" s="6">
        <v>46006</v>
      </c>
      <c r="C85" s="3" t="s">
        <v>296</v>
      </c>
      <c r="D85" s="3" t="s">
        <v>297</v>
      </c>
      <c r="E85" s="3" t="s">
        <v>298</v>
      </c>
      <c r="F85" s="3">
        <v>19</v>
      </c>
      <c r="G85" s="4">
        <v>387.86</v>
      </c>
      <c r="I85" s="3" t="s">
        <v>16</v>
      </c>
      <c r="J85" s="3" t="s">
        <v>299</v>
      </c>
      <c r="K85" s="5">
        <v>20</v>
      </c>
      <c r="L85" s="8">
        <v>2.5000000000000001E-2</v>
      </c>
      <c r="M85" s="10">
        <f t="shared" si="1"/>
        <v>9.6965000000000003</v>
      </c>
    </row>
    <row r="86" spans="1:13">
      <c r="A86" s="5">
        <v>12</v>
      </c>
      <c r="B86" s="6">
        <v>46006</v>
      </c>
      <c r="C86" s="3" t="s">
        <v>300</v>
      </c>
      <c r="D86" s="3" t="s">
        <v>301</v>
      </c>
      <c r="E86" s="3" t="s">
        <v>20</v>
      </c>
      <c r="F86" s="3">
        <v>1</v>
      </c>
      <c r="G86" s="4">
        <v>36902.26</v>
      </c>
      <c r="J86" s="3" t="s">
        <v>302</v>
      </c>
      <c r="K86" s="5">
        <v>20</v>
      </c>
      <c r="L86" s="8">
        <v>2.5000000000000001E-2</v>
      </c>
      <c r="M86" s="10">
        <f t="shared" si="1"/>
        <v>922.55650000000014</v>
      </c>
    </row>
    <row r="87" spans="1:13">
      <c r="A87" s="5">
        <v>18</v>
      </c>
      <c r="B87" s="6">
        <v>46017</v>
      </c>
      <c r="C87" s="3" t="s">
        <v>303</v>
      </c>
      <c r="D87" s="3" t="s">
        <v>304</v>
      </c>
      <c r="E87" s="3" t="s">
        <v>305</v>
      </c>
      <c r="F87" s="3">
        <v>3</v>
      </c>
      <c r="G87" s="4">
        <v>1348.84</v>
      </c>
      <c r="I87" s="3">
        <v>4</v>
      </c>
      <c r="J87" s="3" t="s">
        <v>306</v>
      </c>
      <c r="K87" s="5">
        <v>20</v>
      </c>
      <c r="L87" s="8">
        <v>2.5000000000000001E-2</v>
      </c>
      <c r="M87" s="10">
        <f t="shared" si="1"/>
        <v>33.720999999999997</v>
      </c>
    </row>
    <row r="88" spans="1:13">
      <c r="A88" s="5">
        <v>28</v>
      </c>
      <c r="B88" s="6">
        <v>46021</v>
      </c>
      <c r="C88" s="3" t="s">
        <v>307</v>
      </c>
      <c r="D88" s="3" t="s">
        <v>308</v>
      </c>
      <c r="E88" s="3" t="s">
        <v>20</v>
      </c>
      <c r="F88" s="3">
        <v>1</v>
      </c>
      <c r="G88" s="4">
        <v>12727.66</v>
      </c>
      <c r="J88" s="3" t="s">
        <v>309</v>
      </c>
      <c r="K88" s="5">
        <v>20</v>
      </c>
      <c r="L88" s="8">
        <v>2.5000000000000001E-2</v>
      </c>
      <c r="M88" s="10">
        <f t="shared" si="1"/>
        <v>318.19150000000002</v>
      </c>
    </row>
    <row r="89" spans="1:13">
      <c r="A89" s="5">
        <v>25</v>
      </c>
      <c r="B89" s="6">
        <v>45992</v>
      </c>
      <c r="C89" s="3" t="s">
        <v>310</v>
      </c>
      <c r="D89" s="3" t="s">
        <v>311</v>
      </c>
      <c r="E89" s="3" t="s">
        <v>20</v>
      </c>
      <c r="F89" s="3">
        <v>1</v>
      </c>
      <c r="G89" s="4">
        <v>430</v>
      </c>
      <c r="J89" s="3" t="s">
        <v>312</v>
      </c>
      <c r="K89" s="5">
        <v>21</v>
      </c>
      <c r="L89" s="8">
        <v>2.5000000000000001E-2</v>
      </c>
      <c r="M89" s="10">
        <f t="shared" si="1"/>
        <v>10.75</v>
      </c>
    </row>
    <row r="90" spans="1:13">
      <c r="A90" s="5">
        <v>24</v>
      </c>
      <c r="B90" s="6">
        <v>46008</v>
      </c>
      <c r="C90" s="3" t="s">
        <v>313</v>
      </c>
      <c r="D90" s="3" t="s">
        <v>314</v>
      </c>
      <c r="E90" s="3" t="s">
        <v>315</v>
      </c>
      <c r="F90" s="3" t="s">
        <v>316</v>
      </c>
      <c r="G90" s="4">
        <v>5929.67</v>
      </c>
      <c r="I90" s="3" t="s">
        <v>168</v>
      </c>
      <c r="J90" s="3" t="s">
        <v>317</v>
      </c>
      <c r="K90" s="5">
        <v>21</v>
      </c>
      <c r="L90" s="8">
        <v>2.5000000000000001E-2</v>
      </c>
      <c r="M90" s="10">
        <f t="shared" si="1"/>
        <v>148.24175</v>
      </c>
    </row>
    <row r="91" spans="1:13">
      <c r="A91" s="5">
        <v>25</v>
      </c>
      <c r="B91" s="6">
        <v>46003</v>
      </c>
      <c r="C91" s="3" t="s">
        <v>318</v>
      </c>
      <c r="D91" s="3" t="s">
        <v>319</v>
      </c>
      <c r="E91" s="3" t="s">
        <v>320</v>
      </c>
      <c r="F91" s="3">
        <v>14</v>
      </c>
      <c r="G91" s="4">
        <v>961.96</v>
      </c>
      <c r="I91" s="3">
        <v>2</v>
      </c>
      <c r="J91" s="3" t="s">
        <v>321</v>
      </c>
      <c r="K91" s="5">
        <v>22</v>
      </c>
      <c r="L91" s="8">
        <v>2.5000000000000001E-2</v>
      </c>
      <c r="M91" s="10">
        <f t="shared" si="1"/>
        <v>24.049000000000003</v>
      </c>
    </row>
    <row r="92" spans="1:13">
      <c r="A92" s="5">
        <v>27</v>
      </c>
      <c r="B92" s="6">
        <v>46021</v>
      </c>
      <c r="C92" s="3" t="s">
        <v>322</v>
      </c>
      <c r="D92" s="3" t="s">
        <v>323</v>
      </c>
      <c r="E92" s="3" t="s">
        <v>20</v>
      </c>
      <c r="F92" s="3">
        <v>1</v>
      </c>
      <c r="G92" s="4">
        <v>10461.5</v>
      </c>
      <c r="J92" s="3" t="s">
        <v>324</v>
      </c>
      <c r="K92" s="5">
        <v>22</v>
      </c>
      <c r="L92" s="8">
        <v>2.5000000000000001E-2</v>
      </c>
      <c r="M92" s="10">
        <f t="shared" si="1"/>
        <v>261.53750000000002</v>
      </c>
    </row>
    <row r="93" spans="1:13">
      <c r="A93" s="5">
        <v>21</v>
      </c>
      <c r="B93" s="6">
        <v>46000</v>
      </c>
      <c r="C93" s="3" t="s">
        <v>325</v>
      </c>
      <c r="D93" s="3" t="s">
        <v>326</v>
      </c>
      <c r="E93" s="3" t="s">
        <v>327</v>
      </c>
      <c r="F93" s="3">
        <v>3</v>
      </c>
      <c r="G93" s="4">
        <v>818.75</v>
      </c>
      <c r="I93" s="3">
        <v>4</v>
      </c>
      <c r="J93" s="3" t="s">
        <v>328</v>
      </c>
      <c r="K93" s="5">
        <v>24</v>
      </c>
      <c r="L93" s="8">
        <v>2.5000000000000001E-2</v>
      </c>
      <c r="M93" s="10">
        <f t="shared" si="1"/>
        <v>20.46875</v>
      </c>
    </row>
    <row r="94" spans="1:13">
      <c r="A94" s="5">
        <v>36</v>
      </c>
      <c r="B94" s="6">
        <v>46015</v>
      </c>
      <c r="C94" s="3" t="s">
        <v>329</v>
      </c>
      <c r="D94" s="3" t="s">
        <v>330</v>
      </c>
      <c r="E94" s="3" t="s">
        <v>331</v>
      </c>
      <c r="F94" s="3">
        <v>4</v>
      </c>
      <c r="G94" s="4">
        <v>812.33</v>
      </c>
      <c r="I94" s="3" t="s">
        <v>16</v>
      </c>
      <c r="J94" s="3" t="s">
        <v>332</v>
      </c>
      <c r="K94" s="5">
        <v>24</v>
      </c>
      <c r="L94" s="8">
        <v>2.5000000000000001E-2</v>
      </c>
      <c r="M94" s="10">
        <f t="shared" si="1"/>
        <v>20.308250000000001</v>
      </c>
    </row>
    <row r="95" spans="1:13">
      <c r="A95" s="5">
        <v>28</v>
      </c>
      <c r="B95" s="6">
        <v>45999</v>
      </c>
      <c r="C95" s="3" t="s">
        <v>333</v>
      </c>
      <c r="D95" s="3" t="s">
        <v>334</v>
      </c>
      <c r="E95" s="3" t="s">
        <v>335</v>
      </c>
      <c r="F95" s="3">
        <v>8</v>
      </c>
      <c r="G95" s="4">
        <v>3308.66</v>
      </c>
      <c r="I95" s="3" t="s">
        <v>16</v>
      </c>
      <c r="J95" s="3" t="s">
        <v>336</v>
      </c>
      <c r="K95" s="5">
        <v>25</v>
      </c>
      <c r="L95" s="8">
        <v>2.5000000000000001E-2</v>
      </c>
      <c r="M95" s="10">
        <f t="shared" si="1"/>
        <v>82.716499999999996</v>
      </c>
    </row>
    <row r="96" spans="1:13">
      <c r="A96" s="5">
        <v>17</v>
      </c>
      <c r="B96" s="6">
        <v>45995</v>
      </c>
      <c r="C96" s="3" t="s">
        <v>337</v>
      </c>
      <c r="D96" s="3" t="s">
        <v>338</v>
      </c>
      <c r="E96" s="3" t="s">
        <v>20</v>
      </c>
      <c r="F96" s="3">
        <v>1</v>
      </c>
      <c r="G96" s="4">
        <v>819</v>
      </c>
      <c r="I96" s="3">
        <v>2</v>
      </c>
      <c r="J96" s="3" t="s">
        <v>339</v>
      </c>
      <c r="K96" s="5">
        <v>26</v>
      </c>
      <c r="L96" s="8">
        <v>2.5000000000000001E-2</v>
      </c>
      <c r="M96" s="10">
        <f t="shared" si="1"/>
        <v>20.475000000000001</v>
      </c>
    </row>
    <row r="97" spans="1:13">
      <c r="A97" s="5">
        <v>11</v>
      </c>
      <c r="B97" s="6">
        <v>46007</v>
      </c>
      <c r="C97" s="3" t="s">
        <v>340</v>
      </c>
      <c r="D97" s="3" t="s">
        <v>341</v>
      </c>
      <c r="E97" s="3" t="s">
        <v>20</v>
      </c>
      <c r="F97" s="3">
        <v>1</v>
      </c>
      <c r="G97" s="4">
        <v>5530.75</v>
      </c>
      <c r="I97" s="3">
        <v>2</v>
      </c>
      <c r="J97" s="3" t="s">
        <v>342</v>
      </c>
      <c r="K97" s="5">
        <v>26</v>
      </c>
      <c r="L97" s="8">
        <v>2.5000000000000001E-2</v>
      </c>
      <c r="M97" s="10">
        <f t="shared" si="1"/>
        <v>138.26875000000001</v>
      </c>
    </row>
    <row r="98" spans="1:13">
      <c r="A98" s="5">
        <v>24</v>
      </c>
      <c r="B98" s="6">
        <v>46014</v>
      </c>
      <c r="C98" s="3" t="s">
        <v>343</v>
      </c>
      <c r="D98" s="3" t="s">
        <v>344</v>
      </c>
      <c r="E98" s="3" t="s">
        <v>345</v>
      </c>
      <c r="F98" s="3">
        <v>7</v>
      </c>
      <c r="G98" s="4">
        <v>449.79999999999995</v>
      </c>
      <c r="I98" s="3">
        <v>4</v>
      </c>
      <c r="J98" s="3" t="s">
        <v>346</v>
      </c>
      <c r="K98" s="5">
        <v>26</v>
      </c>
      <c r="L98" s="8">
        <v>2.5000000000000001E-2</v>
      </c>
      <c r="M98" s="10">
        <f t="shared" si="1"/>
        <v>11.244999999999999</v>
      </c>
    </row>
    <row r="99" spans="1:13">
      <c r="A99" s="5">
        <v>16</v>
      </c>
      <c r="B99" s="6">
        <v>45993</v>
      </c>
      <c r="C99" s="3" t="s">
        <v>347</v>
      </c>
      <c r="D99" s="3" t="s">
        <v>348</v>
      </c>
      <c r="E99" s="3" t="s">
        <v>20</v>
      </c>
      <c r="F99" s="3">
        <v>1</v>
      </c>
      <c r="G99" s="4">
        <v>3395.43</v>
      </c>
      <c r="J99" s="3" t="s">
        <v>349</v>
      </c>
      <c r="K99" s="5">
        <v>27</v>
      </c>
      <c r="L99" s="8">
        <v>2.5000000000000001E-2</v>
      </c>
      <c r="M99" s="10">
        <f t="shared" si="1"/>
        <v>84.885750000000002</v>
      </c>
    </row>
    <row r="100" spans="1:13">
      <c r="A100" s="5">
        <v>12</v>
      </c>
      <c r="B100" s="6">
        <v>46013</v>
      </c>
      <c r="C100" s="3" t="s">
        <v>350</v>
      </c>
      <c r="D100" s="3" t="s">
        <v>351</v>
      </c>
      <c r="E100" s="3" t="s">
        <v>20</v>
      </c>
      <c r="F100" s="3">
        <v>1</v>
      </c>
      <c r="G100" s="4">
        <v>927.6</v>
      </c>
      <c r="J100" s="3" t="s">
        <v>352</v>
      </c>
      <c r="K100" s="5">
        <v>27</v>
      </c>
      <c r="L100" s="8">
        <v>2.5000000000000001E-2</v>
      </c>
      <c r="M100" s="10">
        <f t="shared" si="1"/>
        <v>23.19</v>
      </c>
    </row>
    <row r="101" spans="1:13">
      <c r="A101" s="5">
        <v>19</v>
      </c>
      <c r="B101" s="6">
        <v>45999</v>
      </c>
      <c r="C101" s="3" t="s">
        <v>353</v>
      </c>
      <c r="D101" s="3" t="s">
        <v>354</v>
      </c>
      <c r="E101" s="3" t="s">
        <v>20</v>
      </c>
      <c r="F101" s="3">
        <v>1</v>
      </c>
      <c r="G101" s="4">
        <v>8542.76</v>
      </c>
      <c r="J101" s="3" t="s">
        <v>355</v>
      </c>
      <c r="K101" s="5">
        <v>28</v>
      </c>
      <c r="L101" s="8">
        <v>2.5000000000000001E-2</v>
      </c>
      <c r="M101" s="10">
        <f t="shared" si="1"/>
        <v>213.56900000000002</v>
      </c>
    </row>
    <row r="102" spans="1:13">
      <c r="A102" s="5">
        <v>35</v>
      </c>
      <c r="B102" s="6">
        <v>45999</v>
      </c>
      <c r="C102" s="3" t="s">
        <v>356</v>
      </c>
      <c r="D102" s="3" t="s">
        <v>357</v>
      </c>
      <c r="E102" s="3" t="s">
        <v>20</v>
      </c>
      <c r="F102" s="3">
        <v>1</v>
      </c>
      <c r="G102" s="4">
        <v>1555.18</v>
      </c>
      <c r="J102" s="3" t="s">
        <v>358</v>
      </c>
      <c r="K102" s="5">
        <v>28</v>
      </c>
      <c r="L102" s="8">
        <v>2.5000000000000001E-2</v>
      </c>
      <c r="M102" s="10">
        <f t="shared" si="1"/>
        <v>38.879500000000007</v>
      </c>
    </row>
    <row r="103" spans="1:13">
      <c r="A103" s="5">
        <v>28</v>
      </c>
      <c r="B103" s="6">
        <v>45999</v>
      </c>
      <c r="C103" s="3" t="s">
        <v>359</v>
      </c>
      <c r="D103" s="3" t="s">
        <v>360</v>
      </c>
      <c r="E103" s="3" t="s">
        <v>20</v>
      </c>
      <c r="F103" s="3">
        <v>1</v>
      </c>
      <c r="G103" s="4">
        <v>1170.6600000000001</v>
      </c>
      <c r="J103" s="3" t="s">
        <v>361</v>
      </c>
      <c r="K103" s="5">
        <v>28</v>
      </c>
      <c r="L103" s="8">
        <v>2.5000000000000001E-2</v>
      </c>
      <c r="M103" s="10">
        <f t="shared" si="1"/>
        <v>29.266500000000004</v>
      </c>
    </row>
    <row r="104" spans="1:13">
      <c r="A104" s="5">
        <v>11</v>
      </c>
      <c r="B104" s="6">
        <v>46000</v>
      </c>
      <c r="C104" s="3" t="s">
        <v>362</v>
      </c>
      <c r="D104" s="3" t="s">
        <v>363</v>
      </c>
      <c r="E104" s="3" t="s">
        <v>20</v>
      </c>
      <c r="F104" s="3">
        <v>1</v>
      </c>
      <c r="G104" s="4">
        <v>423.35</v>
      </c>
      <c r="J104" s="3" t="s">
        <v>364</v>
      </c>
      <c r="K104" s="5">
        <v>29</v>
      </c>
      <c r="L104" s="8">
        <v>2.5000000000000001E-2</v>
      </c>
      <c r="M104" s="10">
        <f t="shared" si="1"/>
        <v>10.583750000000002</v>
      </c>
    </row>
    <row r="105" spans="1:13">
      <c r="A105" s="5">
        <v>12</v>
      </c>
      <c r="B105" s="6">
        <v>46010</v>
      </c>
      <c r="C105" s="3" t="s">
        <v>365</v>
      </c>
      <c r="D105" s="3" t="s">
        <v>366</v>
      </c>
      <c r="E105" s="3" t="s">
        <v>367</v>
      </c>
      <c r="F105" s="3" t="s">
        <v>368</v>
      </c>
      <c r="G105" s="4">
        <v>16222.26</v>
      </c>
      <c r="I105" s="3" t="s">
        <v>16</v>
      </c>
      <c r="J105" s="3" t="s">
        <v>369</v>
      </c>
      <c r="K105" s="5">
        <v>29</v>
      </c>
      <c r="L105" s="8">
        <v>2.5000000000000001E-2</v>
      </c>
      <c r="M105" s="10">
        <f t="shared" si="1"/>
        <v>405.55650000000003</v>
      </c>
    </row>
    <row r="106" spans="1:13">
      <c r="A106" s="5">
        <v>30</v>
      </c>
      <c r="B106" s="6">
        <v>46010</v>
      </c>
      <c r="C106" s="3" t="s">
        <v>370</v>
      </c>
      <c r="D106" s="3" t="s">
        <v>371</v>
      </c>
      <c r="E106" s="3" t="s">
        <v>20</v>
      </c>
      <c r="F106" s="3">
        <v>1</v>
      </c>
      <c r="G106" s="4">
        <v>4825.09</v>
      </c>
      <c r="J106" s="3" t="s">
        <v>372</v>
      </c>
      <c r="K106" s="5">
        <v>29</v>
      </c>
      <c r="L106" s="8">
        <v>2.5000000000000001E-2</v>
      </c>
      <c r="M106" s="10">
        <f t="shared" si="1"/>
        <v>120.62725</v>
      </c>
    </row>
    <row r="107" spans="1:13">
      <c r="A107" s="5">
        <v>11</v>
      </c>
      <c r="B107" s="6">
        <v>46010</v>
      </c>
      <c r="C107" s="3" t="s">
        <v>373</v>
      </c>
      <c r="D107" s="3" t="s">
        <v>374</v>
      </c>
      <c r="E107" s="3" t="s">
        <v>20</v>
      </c>
      <c r="F107" s="3">
        <v>1</v>
      </c>
      <c r="G107" s="4">
        <v>7604.32</v>
      </c>
      <c r="I107" s="3" t="s">
        <v>16</v>
      </c>
      <c r="J107" s="3" t="s">
        <v>375</v>
      </c>
      <c r="K107" s="5">
        <v>29</v>
      </c>
      <c r="L107" s="8">
        <v>2.5000000000000001E-2</v>
      </c>
      <c r="M107" s="10">
        <f t="shared" si="1"/>
        <v>190.108</v>
      </c>
    </row>
    <row r="108" spans="1:13">
      <c r="A108" s="5">
        <v>14</v>
      </c>
      <c r="B108" s="6">
        <v>46013</v>
      </c>
      <c r="C108" s="3" t="s">
        <v>376</v>
      </c>
      <c r="D108" s="3" t="s">
        <v>377</v>
      </c>
      <c r="E108" s="3" t="s">
        <v>20</v>
      </c>
      <c r="F108" s="3">
        <v>1</v>
      </c>
      <c r="G108" s="4">
        <v>10375.31</v>
      </c>
      <c r="I108" s="3">
        <v>2</v>
      </c>
      <c r="J108" s="3" t="s">
        <v>378</v>
      </c>
      <c r="K108" s="5">
        <v>29</v>
      </c>
      <c r="L108" s="8">
        <v>2.5000000000000001E-2</v>
      </c>
      <c r="M108" s="10">
        <f t="shared" si="1"/>
        <v>259.38274999999999</v>
      </c>
    </row>
    <row r="109" spans="1:13">
      <c r="A109" s="5">
        <v>12</v>
      </c>
      <c r="B109" s="6">
        <v>46001</v>
      </c>
      <c r="C109" s="3" t="s">
        <v>379</v>
      </c>
      <c r="D109" s="3" t="s">
        <v>380</v>
      </c>
      <c r="E109" s="3" t="s">
        <v>381</v>
      </c>
      <c r="F109" s="3" t="s">
        <v>382</v>
      </c>
      <c r="G109" s="4">
        <v>1990.25</v>
      </c>
      <c r="I109" s="3" t="s">
        <v>16</v>
      </c>
      <c r="J109" s="3" t="s">
        <v>383</v>
      </c>
      <c r="K109" s="5">
        <v>30</v>
      </c>
      <c r="L109" s="8">
        <v>2.5000000000000001E-2</v>
      </c>
      <c r="M109" s="10">
        <f t="shared" si="1"/>
        <v>49.756250000000001</v>
      </c>
    </row>
    <row r="110" spans="1:13">
      <c r="A110" s="5">
        <v>14</v>
      </c>
      <c r="B110" s="6">
        <v>46001</v>
      </c>
      <c r="C110" s="3" t="s">
        <v>384</v>
      </c>
      <c r="D110" s="3" t="s">
        <v>385</v>
      </c>
      <c r="E110" s="3" t="s">
        <v>386</v>
      </c>
      <c r="F110" s="3" t="s">
        <v>387</v>
      </c>
      <c r="G110" s="4">
        <v>1573.99</v>
      </c>
      <c r="I110" s="3" t="s">
        <v>16</v>
      </c>
      <c r="J110" s="3" t="s">
        <v>388</v>
      </c>
      <c r="K110" s="5">
        <v>30</v>
      </c>
      <c r="L110" s="8">
        <v>2.5000000000000001E-2</v>
      </c>
      <c r="M110" s="10">
        <f t="shared" si="1"/>
        <v>39.34975</v>
      </c>
    </row>
    <row r="111" spans="1:13">
      <c r="A111" s="5">
        <v>17</v>
      </c>
      <c r="B111" s="6">
        <v>46001</v>
      </c>
      <c r="C111" s="3" t="s">
        <v>389</v>
      </c>
      <c r="D111" s="3" t="s">
        <v>390</v>
      </c>
      <c r="E111" s="3" t="s">
        <v>391</v>
      </c>
      <c r="F111" s="3">
        <v>3</v>
      </c>
      <c r="G111" s="4">
        <v>372.53</v>
      </c>
      <c r="I111" s="3">
        <v>2</v>
      </c>
      <c r="J111" s="3" t="s">
        <v>392</v>
      </c>
      <c r="K111" s="5">
        <v>30</v>
      </c>
      <c r="L111" s="8">
        <v>2.5000000000000001E-2</v>
      </c>
      <c r="M111" s="10">
        <f t="shared" si="1"/>
        <v>9.31325</v>
      </c>
    </row>
    <row r="112" spans="1:13">
      <c r="A112" s="5">
        <v>16</v>
      </c>
      <c r="B112" s="6">
        <v>46006</v>
      </c>
      <c r="C112" s="3" t="s">
        <v>393</v>
      </c>
      <c r="D112" s="3" t="s">
        <v>394</v>
      </c>
      <c r="E112" s="3" t="s">
        <v>395</v>
      </c>
      <c r="F112" s="3" t="s">
        <v>396</v>
      </c>
      <c r="G112" s="4">
        <v>1223.3</v>
      </c>
      <c r="I112" s="3" t="s">
        <v>16</v>
      </c>
      <c r="J112" s="3" t="s">
        <v>397</v>
      </c>
      <c r="K112" s="5">
        <v>30</v>
      </c>
      <c r="L112" s="8">
        <v>2.5000000000000001E-2</v>
      </c>
      <c r="M112" s="10">
        <f t="shared" si="1"/>
        <v>30.5825</v>
      </c>
    </row>
    <row r="113" spans="1:13">
      <c r="A113" s="5">
        <v>12</v>
      </c>
      <c r="B113" s="6">
        <v>46006</v>
      </c>
      <c r="C113" s="3" t="s">
        <v>398</v>
      </c>
      <c r="D113" s="3" t="s">
        <v>399</v>
      </c>
      <c r="E113" s="3" t="s">
        <v>400</v>
      </c>
      <c r="F113" s="3">
        <v>4</v>
      </c>
      <c r="G113" s="4">
        <v>1362.66</v>
      </c>
      <c r="I113" s="3">
        <v>2</v>
      </c>
      <c r="J113" s="3" t="s">
        <v>401</v>
      </c>
      <c r="K113" s="5">
        <v>30</v>
      </c>
      <c r="L113" s="8">
        <v>2.5000000000000001E-2</v>
      </c>
      <c r="M113" s="10">
        <f t="shared" si="1"/>
        <v>34.066500000000005</v>
      </c>
    </row>
    <row r="114" spans="1:13">
      <c r="A114" s="5">
        <v>17</v>
      </c>
      <c r="B114" s="6">
        <v>46006</v>
      </c>
      <c r="C114" s="3" t="s">
        <v>402</v>
      </c>
      <c r="D114" s="3" t="s">
        <v>403</v>
      </c>
      <c r="E114" s="3" t="s">
        <v>20</v>
      </c>
      <c r="F114" s="3">
        <v>1</v>
      </c>
      <c r="G114" s="4">
        <v>2043</v>
      </c>
      <c r="J114" s="3" t="s">
        <v>404</v>
      </c>
      <c r="K114" s="5">
        <v>30</v>
      </c>
      <c r="L114" s="8">
        <v>2.5000000000000001E-2</v>
      </c>
      <c r="M114" s="10">
        <f t="shared" si="1"/>
        <v>51.075000000000003</v>
      </c>
    </row>
    <row r="115" spans="1:13">
      <c r="A115" s="5">
        <v>11</v>
      </c>
      <c r="B115" s="6">
        <v>46014</v>
      </c>
      <c r="C115" s="3" t="s">
        <v>405</v>
      </c>
      <c r="D115" s="3" t="s">
        <v>406</v>
      </c>
      <c r="E115" s="3" t="s">
        <v>20</v>
      </c>
      <c r="F115" s="3">
        <v>1</v>
      </c>
      <c r="G115" s="4">
        <v>6835.26</v>
      </c>
      <c r="I115" s="3" t="s">
        <v>16</v>
      </c>
      <c r="J115" s="3" t="s">
        <v>407</v>
      </c>
      <c r="K115" s="5">
        <v>30</v>
      </c>
      <c r="L115" s="8">
        <v>2.5000000000000001E-2</v>
      </c>
      <c r="M115" s="10">
        <f t="shared" si="1"/>
        <v>170.88150000000002</v>
      </c>
    </row>
    <row r="116" spans="1:13">
      <c r="A116" s="5">
        <v>13</v>
      </c>
      <c r="B116" s="6">
        <v>46001</v>
      </c>
      <c r="C116" s="3" t="s">
        <v>408</v>
      </c>
      <c r="D116" s="3" t="s">
        <v>409</v>
      </c>
      <c r="E116" s="3" t="s">
        <v>410</v>
      </c>
      <c r="F116" s="3" t="s">
        <v>411</v>
      </c>
      <c r="G116" s="4">
        <v>1996.31</v>
      </c>
      <c r="I116" s="3" t="s">
        <v>16</v>
      </c>
      <c r="J116" s="3" t="s">
        <v>412</v>
      </c>
      <c r="K116" s="5">
        <v>31</v>
      </c>
      <c r="L116" s="8">
        <v>2.5000000000000001E-2</v>
      </c>
      <c r="M116" s="10">
        <f t="shared" si="1"/>
        <v>49.90775</v>
      </c>
    </row>
    <row r="117" spans="1:13">
      <c r="A117" s="5">
        <v>32</v>
      </c>
      <c r="B117" s="6">
        <v>46002</v>
      </c>
      <c r="C117" s="3" t="s">
        <v>413</v>
      </c>
      <c r="D117" s="3" t="s">
        <v>414</v>
      </c>
      <c r="E117" s="3" t="s">
        <v>415</v>
      </c>
      <c r="F117" s="3" t="s">
        <v>416</v>
      </c>
      <c r="G117" s="4">
        <v>203.97</v>
      </c>
      <c r="I117" s="3" t="s">
        <v>16</v>
      </c>
      <c r="J117" s="3" t="s">
        <v>417</v>
      </c>
      <c r="K117" s="5">
        <v>31</v>
      </c>
      <c r="L117" s="8">
        <v>2.5000000000000001E-2</v>
      </c>
      <c r="M117" s="10">
        <f t="shared" si="1"/>
        <v>5.0992500000000005</v>
      </c>
    </row>
    <row r="118" spans="1:13">
      <c r="A118" s="5">
        <v>35</v>
      </c>
      <c r="B118" s="6">
        <v>46002</v>
      </c>
      <c r="C118" s="3" t="s">
        <v>418</v>
      </c>
      <c r="D118" s="3" t="s">
        <v>419</v>
      </c>
      <c r="E118" s="3" t="s">
        <v>20</v>
      </c>
      <c r="F118" s="3">
        <v>1</v>
      </c>
      <c r="G118" s="4">
        <v>225.22</v>
      </c>
      <c r="I118" s="3">
        <v>2</v>
      </c>
      <c r="J118" s="3" t="s">
        <v>420</v>
      </c>
      <c r="K118" s="5">
        <v>31</v>
      </c>
      <c r="L118" s="8">
        <v>2.5000000000000001E-2</v>
      </c>
      <c r="M118" s="10">
        <f t="shared" si="1"/>
        <v>5.6305000000000005</v>
      </c>
    </row>
    <row r="119" spans="1:13">
      <c r="A119" s="5">
        <v>31</v>
      </c>
      <c r="B119" s="6">
        <v>46003</v>
      </c>
      <c r="C119" s="3" t="s">
        <v>421</v>
      </c>
      <c r="D119" s="3" t="s">
        <v>422</v>
      </c>
      <c r="E119" s="3" t="s">
        <v>423</v>
      </c>
      <c r="F119" s="3" t="s">
        <v>424</v>
      </c>
      <c r="G119" s="4">
        <v>6784.65</v>
      </c>
      <c r="I119" s="3" t="s">
        <v>16</v>
      </c>
      <c r="J119" s="3" t="s">
        <v>425</v>
      </c>
      <c r="K119" s="5">
        <v>31</v>
      </c>
      <c r="L119" s="8">
        <v>2.5000000000000001E-2</v>
      </c>
      <c r="M119" s="10">
        <f t="shared" si="1"/>
        <v>169.61625000000001</v>
      </c>
    </row>
    <row r="120" spans="1:13">
      <c r="A120" s="5">
        <v>24</v>
      </c>
      <c r="B120" s="6">
        <v>46007</v>
      </c>
      <c r="C120" s="3" t="s">
        <v>426</v>
      </c>
      <c r="D120" s="3" t="s">
        <v>427</v>
      </c>
      <c r="E120" s="3" t="s">
        <v>428</v>
      </c>
      <c r="F120" s="3">
        <v>6</v>
      </c>
      <c r="G120" s="4">
        <v>2112.4899999999998</v>
      </c>
      <c r="I120" s="3" t="s">
        <v>16</v>
      </c>
      <c r="J120" s="3" t="s">
        <v>429</v>
      </c>
      <c r="K120" s="5">
        <v>31</v>
      </c>
      <c r="L120" s="8">
        <v>2.5000000000000001E-2</v>
      </c>
      <c r="M120" s="10">
        <f t="shared" si="1"/>
        <v>52.812249999999999</v>
      </c>
    </row>
    <row r="121" spans="1:13">
      <c r="A121" s="5">
        <v>11</v>
      </c>
      <c r="B121" s="6">
        <v>46014</v>
      </c>
      <c r="C121" s="3" t="s">
        <v>430</v>
      </c>
      <c r="D121" s="3" t="s">
        <v>431</v>
      </c>
      <c r="E121" s="3" t="s">
        <v>432</v>
      </c>
      <c r="F121" s="3" t="s">
        <v>396</v>
      </c>
      <c r="G121" s="4">
        <v>2046.86</v>
      </c>
      <c r="I121" s="3" t="s">
        <v>16</v>
      </c>
      <c r="J121" s="3" t="s">
        <v>433</v>
      </c>
      <c r="K121" s="5">
        <v>31</v>
      </c>
      <c r="L121" s="8">
        <v>2.5000000000000001E-2</v>
      </c>
      <c r="M121" s="10">
        <f t="shared" si="1"/>
        <v>51.171500000000002</v>
      </c>
    </row>
    <row r="122" spans="1:13">
      <c r="A122" s="5">
        <v>12</v>
      </c>
      <c r="B122" s="6">
        <v>46020</v>
      </c>
      <c r="C122" s="3" t="s">
        <v>434</v>
      </c>
      <c r="D122" s="3" t="s">
        <v>435</v>
      </c>
      <c r="E122" s="3" t="s">
        <v>436</v>
      </c>
      <c r="F122" s="3">
        <v>12</v>
      </c>
      <c r="G122" s="4">
        <v>589.94000000000005</v>
      </c>
      <c r="I122" s="3" t="s">
        <v>16</v>
      </c>
      <c r="J122" s="3" t="s">
        <v>437</v>
      </c>
      <c r="K122" s="5">
        <v>31</v>
      </c>
      <c r="L122" s="8">
        <v>2.5000000000000001E-2</v>
      </c>
      <c r="M122" s="10">
        <f t="shared" si="1"/>
        <v>14.748500000000002</v>
      </c>
    </row>
    <row r="123" spans="1:13">
      <c r="A123" s="5">
        <v>18</v>
      </c>
      <c r="B123" s="6">
        <v>46021</v>
      </c>
      <c r="C123" s="3" t="s">
        <v>438</v>
      </c>
      <c r="D123" s="3" t="s">
        <v>439</v>
      </c>
      <c r="E123" s="3" t="s">
        <v>440</v>
      </c>
      <c r="F123" s="3" t="s">
        <v>441</v>
      </c>
      <c r="G123" s="4">
        <v>6692.18</v>
      </c>
      <c r="I123" s="3" t="s">
        <v>16</v>
      </c>
      <c r="J123" s="3" t="s">
        <v>442</v>
      </c>
      <c r="K123" s="5">
        <v>31</v>
      </c>
      <c r="L123" s="8">
        <v>2.5000000000000001E-2</v>
      </c>
      <c r="M123" s="10">
        <f t="shared" si="1"/>
        <v>167.30450000000002</v>
      </c>
    </row>
    <row r="124" spans="1:13">
      <c r="A124" s="5">
        <v>20</v>
      </c>
      <c r="B124" s="6">
        <v>46002</v>
      </c>
      <c r="C124" s="3" t="s">
        <v>443</v>
      </c>
      <c r="D124" s="3" t="s">
        <v>444</v>
      </c>
      <c r="E124" s="3" t="s">
        <v>20</v>
      </c>
      <c r="F124" s="3">
        <v>1</v>
      </c>
      <c r="G124" s="4">
        <v>4232</v>
      </c>
      <c r="J124" s="3" t="s">
        <v>445</v>
      </c>
      <c r="K124" s="5">
        <v>31</v>
      </c>
      <c r="L124" s="8">
        <v>2.5000000000000001E-2</v>
      </c>
      <c r="M124" s="10">
        <f t="shared" si="1"/>
        <v>105.80000000000001</v>
      </c>
    </row>
    <row r="125" spans="1:13">
      <c r="A125" s="5">
        <v>14</v>
      </c>
      <c r="B125" s="6">
        <v>46003</v>
      </c>
      <c r="C125" s="3" t="s">
        <v>446</v>
      </c>
      <c r="D125" s="3" t="s">
        <v>447</v>
      </c>
      <c r="E125" s="3" t="s">
        <v>20</v>
      </c>
      <c r="F125" s="3">
        <v>1</v>
      </c>
      <c r="G125" s="4">
        <v>8000</v>
      </c>
      <c r="J125" s="3" t="s">
        <v>448</v>
      </c>
      <c r="K125" s="5">
        <v>32</v>
      </c>
      <c r="L125" s="8">
        <v>2.5000000000000001E-2</v>
      </c>
      <c r="M125" s="10">
        <f t="shared" si="1"/>
        <v>200</v>
      </c>
    </row>
    <row r="126" spans="1:13">
      <c r="A126" s="5">
        <v>11</v>
      </c>
      <c r="B126" s="6">
        <v>46003</v>
      </c>
      <c r="C126" s="3" t="s">
        <v>449</v>
      </c>
      <c r="D126" s="3" t="s">
        <v>450</v>
      </c>
      <c r="E126" s="3" t="s">
        <v>20</v>
      </c>
      <c r="F126" s="3">
        <v>1</v>
      </c>
      <c r="G126" s="4">
        <v>2243.9899999999998</v>
      </c>
      <c r="J126" s="3" t="s">
        <v>451</v>
      </c>
      <c r="K126" s="5">
        <v>32</v>
      </c>
      <c r="L126" s="8">
        <v>2.5000000000000001E-2</v>
      </c>
      <c r="M126" s="10">
        <f t="shared" si="1"/>
        <v>56.09975</v>
      </c>
    </row>
    <row r="127" spans="1:13">
      <c r="A127" s="5">
        <v>17</v>
      </c>
      <c r="B127" s="6">
        <v>46013</v>
      </c>
      <c r="C127" s="3" t="s">
        <v>452</v>
      </c>
      <c r="D127" s="3" t="s">
        <v>453</v>
      </c>
      <c r="E127" s="3" t="s">
        <v>454</v>
      </c>
      <c r="F127" s="3" t="s">
        <v>455</v>
      </c>
      <c r="G127" s="4">
        <v>1492.63</v>
      </c>
      <c r="I127" s="3" t="s">
        <v>16</v>
      </c>
      <c r="J127" s="3" t="s">
        <v>456</v>
      </c>
      <c r="K127" s="5">
        <v>32</v>
      </c>
      <c r="L127" s="8">
        <v>2.5000000000000001E-2</v>
      </c>
      <c r="M127" s="10">
        <f t="shared" si="1"/>
        <v>37.315750000000001</v>
      </c>
    </row>
    <row r="128" spans="1:13">
      <c r="A128" s="5">
        <v>18</v>
      </c>
      <c r="B128" s="6">
        <v>46013</v>
      </c>
      <c r="C128" s="3" t="s">
        <v>457</v>
      </c>
      <c r="D128" s="3" t="s">
        <v>458</v>
      </c>
      <c r="E128" s="3" t="s">
        <v>459</v>
      </c>
      <c r="F128" s="3" t="s">
        <v>460</v>
      </c>
      <c r="G128" s="4">
        <v>1881.42</v>
      </c>
      <c r="I128" s="3" t="s">
        <v>16</v>
      </c>
      <c r="J128" s="3" t="s">
        <v>461</v>
      </c>
      <c r="K128" s="5">
        <v>32</v>
      </c>
      <c r="L128" s="8">
        <v>2.5000000000000001E-2</v>
      </c>
      <c r="M128" s="10">
        <f t="shared" si="1"/>
        <v>47.035500000000006</v>
      </c>
    </row>
    <row r="129" spans="1:13">
      <c r="A129" s="5">
        <v>25</v>
      </c>
      <c r="B129" s="6">
        <v>46013</v>
      </c>
      <c r="C129" s="3" t="s">
        <v>462</v>
      </c>
      <c r="D129" s="3" t="s">
        <v>463</v>
      </c>
      <c r="E129" s="3" t="s">
        <v>464</v>
      </c>
      <c r="F129" s="3" t="s">
        <v>411</v>
      </c>
      <c r="G129" s="4">
        <v>5121.16</v>
      </c>
      <c r="I129" s="3" t="s">
        <v>16</v>
      </c>
      <c r="J129" s="3" t="s">
        <v>465</v>
      </c>
      <c r="K129" s="5">
        <v>32</v>
      </c>
      <c r="L129" s="8">
        <v>2.5000000000000001E-2</v>
      </c>
      <c r="M129" s="10">
        <f t="shared" si="1"/>
        <v>128.029</v>
      </c>
    </row>
    <row r="130" spans="1:13">
      <c r="A130" s="5">
        <v>14</v>
      </c>
      <c r="B130" s="6">
        <v>46013</v>
      </c>
      <c r="C130" s="3" t="s">
        <v>466</v>
      </c>
      <c r="D130" s="3" t="s">
        <v>467</v>
      </c>
      <c r="E130" s="3" t="s">
        <v>20</v>
      </c>
      <c r="F130" s="3">
        <v>1</v>
      </c>
      <c r="G130" s="4">
        <v>553.5</v>
      </c>
      <c r="J130" s="3" t="s">
        <v>468</v>
      </c>
      <c r="K130" s="5">
        <v>32</v>
      </c>
      <c r="L130" s="8">
        <v>2.5000000000000001E-2</v>
      </c>
      <c r="M130" s="10">
        <f t="shared" si="1"/>
        <v>13.8375</v>
      </c>
    </row>
    <row r="131" spans="1:13">
      <c r="A131" s="5">
        <v>20</v>
      </c>
      <c r="B131" s="6">
        <v>46014</v>
      </c>
      <c r="C131" s="3" t="s">
        <v>469</v>
      </c>
      <c r="D131" s="3" t="s">
        <v>470</v>
      </c>
      <c r="E131" s="3" t="s">
        <v>471</v>
      </c>
      <c r="F131" s="3">
        <v>9</v>
      </c>
      <c r="G131" s="4">
        <v>1882.91</v>
      </c>
      <c r="I131" s="3">
        <v>4</v>
      </c>
      <c r="J131" s="3" t="s">
        <v>472</v>
      </c>
      <c r="K131" s="5">
        <v>32</v>
      </c>
      <c r="L131" s="8">
        <v>2.5000000000000001E-2</v>
      </c>
      <c r="M131" s="10">
        <f t="shared" si="1"/>
        <v>47.072750000000006</v>
      </c>
    </row>
    <row r="132" spans="1:13">
      <c r="A132" s="5">
        <v>25</v>
      </c>
      <c r="B132" s="6">
        <v>46017</v>
      </c>
      <c r="C132" s="3" t="s">
        <v>473</v>
      </c>
      <c r="D132" s="3" t="s">
        <v>474</v>
      </c>
      <c r="E132" s="3" t="s">
        <v>475</v>
      </c>
      <c r="F132" s="3" t="s">
        <v>476</v>
      </c>
      <c r="G132" s="4">
        <v>3229.78</v>
      </c>
      <c r="I132" s="3">
        <v>2</v>
      </c>
      <c r="J132" s="3" t="s">
        <v>477</v>
      </c>
      <c r="K132" s="5">
        <v>32</v>
      </c>
      <c r="L132" s="8">
        <v>2.5000000000000001E-2</v>
      </c>
      <c r="M132" s="10">
        <f t="shared" ref="M132:M176" si="2">L132*G132</f>
        <v>80.744500000000016</v>
      </c>
    </row>
    <row r="133" spans="1:13">
      <c r="A133" s="5">
        <v>18</v>
      </c>
      <c r="B133" s="6">
        <v>46020</v>
      </c>
      <c r="C133" s="3" t="s">
        <v>478</v>
      </c>
      <c r="D133" s="3" t="s">
        <v>479</v>
      </c>
      <c r="E133" s="3" t="s">
        <v>480</v>
      </c>
      <c r="F133" s="3" t="s">
        <v>382</v>
      </c>
      <c r="G133" s="4">
        <v>426.02</v>
      </c>
      <c r="I133" s="3" t="s">
        <v>16</v>
      </c>
      <c r="J133" s="3" t="s">
        <v>481</v>
      </c>
      <c r="K133" s="5">
        <v>32</v>
      </c>
      <c r="L133" s="8">
        <v>2.5000000000000001E-2</v>
      </c>
      <c r="M133" s="10">
        <f t="shared" si="2"/>
        <v>10.650500000000001</v>
      </c>
    </row>
    <row r="134" spans="1:13">
      <c r="A134" s="5">
        <v>21</v>
      </c>
      <c r="B134" s="6">
        <v>45995</v>
      </c>
      <c r="C134" s="3" t="s">
        <v>482</v>
      </c>
      <c r="D134" s="3" t="s">
        <v>483</v>
      </c>
      <c r="E134" s="3" t="s">
        <v>484</v>
      </c>
      <c r="F134" s="3" t="s">
        <v>396</v>
      </c>
      <c r="G134" s="4">
        <v>1400</v>
      </c>
      <c r="I134" s="3" t="s">
        <v>16</v>
      </c>
      <c r="J134" s="3" t="s">
        <v>485</v>
      </c>
      <c r="K134" s="5">
        <v>33</v>
      </c>
      <c r="L134" s="8">
        <v>2.5000000000000001E-2</v>
      </c>
      <c r="M134" s="10">
        <f t="shared" si="2"/>
        <v>35</v>
      </c>
    </row>
    <row r="135" spans="1:13">
      <c r="A135" s="5">
        <v>21</v>
      </c>
      <c r="B135" s="6">
        <v>46000</v>
      </c>
      <c r="C135" s="3" t="s">
        <v>486</v>
      </c>
      <c r="D135" s="3" t="s">
        <v>487</v>
      </c>
      <c r="E135" s="3" t="s">
        <v>488</v>
      </c>
      <c r="F135" s="3" t="s">
        <v>489</v>
      </c>
      <c r="G135" s="4">
        <v>499.87</v>
      </c>
      <c r="I135" s="3" t="s">
        <v>16</v>
      </c>
      <c r="J135" s="3" t="s">
        <v>490</v>
      </c>
      <c r="K135" s="5">
        <v>33</v>
      </c>
      <c r="L135" s="8">
        <v>2.5000000000000001E-2</v>
      </c>
      <c r="M135" s="10">
        <f t="shared" si="2"/>
        <v>12.49675</v>
      </c>
    </row>
    <row r="136" spans="1:13">
      <c r="A136" s="5">
        <v>24</v>
      </c>
      <c r="B136" s="6">
        <v>46006</v>
      </c>
      <c r="C136" s="3" t="s">
        <v>491</v>
      </c>
      <c r="D136" s="3" t="s">
        <v>492</v>
      </c>
      <c r="E136" s="3" t="s">
        <v>493</v>
      </c>
      <c r="F136" s="3" t="s">
        <v>494</v>
      </c>
      <c r="G136" s="4">
        <v>7323.19</v>
      </c>
      <c r="I136" s="3" t="s">
        <v>16</v>
      </c>
      <c r="J136" s="3" t="s">
        <v>495</v>
      </c>
      <c r="K136" s="5">
        <v>33</v>
      </c>
      <c r="L136" s="8">
        <v>2.5000000000000001E-2</v>
      </c>
      <c r="M136" s="10">
        <f t="shared" si="2"/>
        <v>183.07974999999999</v>
      </c>
    </row>
    <row r="137" spans="1:13">
      <c r="A137" s="5">
        <v>14</v>
      </c>
      <c r="B137" s="6">
        <v>46010</v>
      </c>
      <c r="C137" s="3" t="s">
        <v>496</v>
      </c>
      <c r="D137" s="3" t="s">
        <v>497</v>
      </c>
      <c r="E137" s="3" t="s">
        <v>498</v>
      </c>
      <c r="F137" s="3" t="s">
        <v>499</v>
      </c>
      <c r="G137" s="4">
        <v>493</v>
      </c>
      <c r="I137" s="3" t="s">
        <v>16</v>
      </c>
      <c r="J137" s="3" t="s">
        <v>500</v>
      </c>
      <c r="K137" s="5">
        <v>34</v>
      </c>
      <c r="L137" s="8">
        <v>2.5000000000000001E-2</v>
      </c>
      <c r="M137" s="10">
        <f t="shared" si="2"/>
        <v>12.325000000000001</v>
      </c>
    </row>
    <row r="138" spans="1:13">
      <c r="A138" s="5">
        <v>21</v>
      </c>
      <c r="B138" s="6">
        <v>46013</v>
      </c>
      <c r="C138" s="3" t="s">
        <v>501</v>
      </c>
      <c r="D138" s="3" t="s">
        <v>502</v>
      </c>
      <c r="E138" s="3" t="s">
        <v>503</v>
      </c>
      <c r="F138" s="3" t="s">
        <v>504</v>
      </c>
      <c r="G138" s="4">
        <v>917.74</v>
      </c>
      <c r="I138" s="3">
        <v>2</v>
      </c>
      <c r="J138" s="3" t="s">
        <v>505</v>
      </c>
      <c r="K138" s="5">
        <v>34</v>
      </c>
      <c r="L138" s="8">
        <v>2.5000000000000001E-2</v>
      </c>
      <c r="M138" s="10">
        <f t="shared" si="2"/>
        <v>22.9435</v>
      </c>
    </row>
    <row r="139" spans="1:13">
      <c r="A139" s="5">
        <v>17</v>
      </c>
      <c r="B139" s="6">
        <v>46022</v>
      </c>
      <c r="C139" s="3" t="s">
        <v>506</v>
      </c>
      <c r="D139" s="3" t="s">
        <v>507</v>
      </c>
      <c r="E139" s="3" t="s">
        <v>20</v>
      </c>
      <c r="F139" s="3">
        <v>1</v>
      </c>
      <c r="G139" s="4">
        <v>2186.89</v>
      </c>
      <c r="J139" s="3" t="s">
        <v>508</v>
      </c>
      <c r="K139" s="5">
        <v>36</v>
      </c>
      <c r="L139" s="8">
        <v>2.5000000000000001E-2</v>
      </c>
      <c r="M139" s="10">
        <f t="shared" si="2"/>
        <v>54.672249999999998</v>
      </c>
    </row>
    <row r="140" spans="1:13">
      <c r="A140" s="5">
        <v>37</v>
      </c>
      <c r="B140" s="6">
        <v>46014</v>
      </c>
      <c r="C140" s="3" t="s">
        <v>509</v>
      </c>
      <c r="D140" s="3" t="s">
        <v>510</v>
      </c>
      <c r="E140" s="3" t="s">
        <v>511</v>
      </c>
      <c r="F140" s="3" t="s">
        <v>512</v>
      </c>
      <c r="G140" s="4">
        <v>4062.04</v>
      </c>
      <c r="I140" s="3" t="s">
        <v>16</v>
      </c>
      <c r="J140" s="3" t="s">
        <v>513</v>
      </c>
      <c r="K140" s="5">
        <v>37</v>
      </c>
      <c r="L140" s="8">
        <v>2.5000000000000001E-2</v>
      </c>
      <c r="M140" s="10">
        <f t="shared" si="2"/>
        <v>101.551</v>
      </c>
    </row>
    <row r="141" spans="1:13">
      <c r="A141" s="5">
        <v>12</v>
      </c>
      <c r="B141" s="6">
        <v>46014</v>
      </c>
      <c r="C141" s="3" t="s">
        <v>514</v>
      </c>
      <c r="D141" s="3" t="s">
        <v>515</v>
      </c>
      <c r="E141" s="3" t="s">
        <v>516</v>
      </c>
      <c r="F141" s="3" t="s">
        <v>382</v>
      </c>
      <c r="G141" s="4">
        <v>1138.19</v>
      </c>
      <c r="I141" s="3">
        <v>2</v>
      </c>
      <c r="J141" s="3" t="s">
        <v>517</v>
      </c>
      <c r="K141" s="5">
        <v>37</v>
      </c>
      <c r="L141" s="8">
        <v>2.5000000000000001E-2</v>
      </c>
      <c r="M141" s="10">
        <f t="shared" si="2"/>
        <v>28.454750000000004</v>
      </c>
    </row>
    <row r="142" spans="1:13">
      <c r="A142" s="5">
        <v>33</v>
      </c>
      <c r="B142" s="6">
        <v>46009</v>
      </c>
      <c r="C142" s="3" t="s">
        <v>518</v>
      </c>
      <c r="D142" s="3" t="s">
        <v>519</v>
      </c>
      <c r="E142" s="3" t="s">
        <v>20</v>
      </c>
      <c r="F142" s="3">
        <v>1</v>
      </c>
      <c r="G142" s="4">
        <v>23306.18</v>
      </c>
      <c r="J142" s="3" t="s">
        <v>520</v>
      </c>
      <c r="K142" s="5">
        <v>38</v>
      </c>
      <c r="L142" s="8">
        <v>2.5000000000000001E-2</v>
      </c>
      <c r="M142" s="10">
        <f t="shared" si="2"/>
        <v>582.65449999999998</v>
      </c>
    </row>
    <row r="143" spans="1:13">
      <c r="A143" s="5">
        <v>19</v>
      </c>
      <c r="B143" s="6">
        <v>46009</v>
      </c>
      <c r="C143" s="3" t="s">
        <v>521</v>
      </c>
      <c r="D143" s="3" t="s">
        <v>522</v>
      </c>
      <c r="E143" s="3" t="s">
        <v>20</v>
      </c>
      <c r="F143" s="3">
        <v>1</v>
      </c>
      <c r="G143" s="4">
        <v>16155.2</v>
      </c>
      <c r="J143" s="3" t="s">
        <v>523</v>
      </c>
      <c r="K143" s="5">
        <v>38</v>
      </c>
      <c r="L143" s="8">
        <v>2.5000000000000001E-2</v>
      </c>
      <c r="M143" s="10">
        <f t="shared" si="2"/>
        <v>403.88000000000005</v>
      </c>
    </row>
    <row r="144" spans="1:13">
      <c r="A144" s="5">
        <v>36</v>
      </c>
      <c r="B144" s="6">
        <v>46013</v>
      </c>
      <c r="C144" s="3" t="s">
        <v>524</v>
      </c>
      <c r="D144" s="3" t="s">
        <v>525</v>
      </c>
      <c r="E144" s="3" t="s">
        <v>20</v>
      </c>
      <c r="F144" s="3">
        <v>1</v>
      </c>
      <c r="G144" s="4">
        <v>16969.439999999999</v>
      </c>
      <c r="J144" s="3" t="s">
        <v>526</v>
      </c>
      <c r="K144" s="5">
        <v>39</v>
      </c>
      <c r="L144" s="8">
        <v>2.5000000000000001E-2</v>
      </c>
      <c r="M144" s="10">
        <f t="shared" si="2"/>
        <v>424.23599999999999</v>
      </c>
    </row>
    <row r="145" spans="1:13">
      <c r="A145" s="5">
        <v>28</v>
      </c>
      <c r="B145" s="6">
        <v>46020</v>
      </c>
      <c r="C145" s="3" t="s">
        <v>527</v>
      </c>
      <c r="D145" s="3" t="s">
        <v>528</v>
      </c>
      <c r="E145" s="3" t="s">
        <v>529</v>
      </c>
      <c r="F145" s="3" t="s">
        <v>530</v>
      </c>
      <c r="G145" s="4">
        <v>2293.94</v>
      </c>
      <c r="I145" s="3" t="s">
        <v>16</v>
      </c>
      <c r="J145" s="3" t="s">
        <v>531</v>
      </c>
      <c r="K145" s="5">
        <v>41</v>
      </c>
      <c r="L145" s="8">
        <v>2.5000000000000001E-2</v>
      </c>
      <c r="M145" s="10">
        <f t="shared" si="2"/>
        <v>57.348500000000001</v>
      </c>
    </row>
    <row r="146" spans="1:13">
      <c r="A146" s="5">
        <v>27</v>
      </c>
      <c r="B146" s="6">
        <v>46002</v>
      </c>
      <c r="C146" s="3" t="s">
        <v>532</v>
      </c>
      <c r="D146" s="3" t="s">
        <v>533</v>
      </c>
      <c r="E146" s="3" t="s">
        <v>534</v>
      </c>
      <c r="F146" s="3" t="s">
        <v>535</v>
      </c>
      <c r="G146" s="4">
        <v>598.13</v>
      </c>
      <c r="I146" s="3" t="s">
        <v>16</v>
      </c>
      <c r="J146" s="3" t="s">
        <v>536</v>
      </c>
      <c r="K146" s="5">
        <v>42</v>
      </c>
      <c r="L146" s="8">
        <v>2.5000000000000001E-2</v>
      </c>
      <c r="M146" s="10">
        <f t="shared" si="2"/>
        <v>14.953250000000001</v>
      </c>
    </row>
    <row r="147" spans="1:13">
      <c r="A147" s="5">
        <v>11</v>
      </c>
      <c r="B147" s="6">
        <v>46014</v>
      </c>
      <c r="C147" s="3" t="s">
        <v>537</v>
      </c>
      <c r="D147" s="3" t="s">
        <v>538</v>
      </c>
      <c r="E147" s="3" t="s">
        <v>20</v>
      </c>
      <c r="F147" s="3">
        <v>1</v>
      </c>
      <c r="G147" s="4">
        <v>29605.8</v>
      </c>
      <c r="J147" s="3" t="s">
        <v>539</v>
      </c>
      <c r="K147" s="5">
        <v>43</v>
      </c>
      <c r="L147" s="8">
        <v>2.5000000000000001E-2</v>
      </c>
      <c r="M147" s="10">
        <f t="shared" si="2"/>
        <v>740.14499999999998</v>
      </c>
    </row>
    <row r="148" spans="1:13">
      <c r="A148" s="5">
        <v>14</v>
      </c>
      <c r="B148" s="6">
        <v>45999</v>
      </c>
      <c r="C148" s="3" t="s">
        <v>540</v>
      </c>
      <c r="D148" s="3" t="s">
        <v>541</v>
      </c>
      <c r="E148" s="3" t="s">
        <v>20</v>
      </c>
      <c r="F148" s="3">
        <v>1</v>
      </c>
      <c r="G148" s="4">
        <v>7053.76</v>
      </c>
      <c r="J148" s="3" t="s">
        <v>542</v>
      </c>
      <c r="K148" s="5">
        <v>44</v>
      </c>
      <c r="L148" s="8">
        <v>2.5000000000000001E-2</v>
      </c>
      <c r="M148" s="10">
        <f t="shared" si="2"/>
        <v>176.34400000000002</v>
      </c>
    </row>
    <row r="149" spans="1:13">
      <c r="A149" s="5">
        <v>29</v>
      </c>
      <c r="B149" s="6">
        <v>46017</v>
      </c>
      <c r="C149" s="3" t="s">
        <v>543</v>
      </c>
      <c r="D149" s="3" t="s">
        <v>544</v>
      </c>
      <c r="E149" s="3" t="s">
        <v>545</v>
      </c>
      <c r="F149" s="3">
        <v>5</v>
      </c>
      <c r="G149" s="4">
        <v>152.65</v>
      </c>
      <c r="I149" s="3" t="s">
        <v>16</v>
      </c>
      <c r="J149" s="3" t="s">
        <v>546</v>
      </c>
      <c r="K149" s="5">
        <v>46</v>
      </c>
      <c r="L149" s="8">
        <v>2.5000000000000001E-2</v>
      </c>
      <c r="M149" s="10">
        <f t="shared" si="2"/>
        <v>3.8162500000000001</v>
      </c>
    </row>
    <row r="150" spans="1:13">
      <c r="A150" s="5">
        <v>30</v>
      </c>
      <c r="B150" s="6">
        <v>46021</v>
      </c>
      <c r="C150" s="3" t="s">
        <v>547</v>
      </c>
      <c r="D150" s="3" t="s">
        <v>548</v>
      </c>
      <c r="E150" s="3" t="s">
        <v>549</v>
      </c>
      <c r="F150" s="3" t="s">
        <v>550</v>
      </c>
      <c r="G150" s="4">
        <v>9768.5300000000007</v>
      </c>
      <c r="I150" s="3">
        <v>2</v>
      </c>
      <c r="J150" s="3" t="s">
        <v>551</v>
      </c>
      <c r="K150" s="5">
        <v>50</v>
      </c>
      <c r="L150" s="8">
        <v>2.5000000000000001E-2</v>
      </c>
      <c r="M150" s="10">
        <f t="shared" si="2"/>
        <v>244.21325000000002</v>
      </c>
    </row>
    <row r="151" spans="1:13">
      <c r="A151" s="5">
        <v>14</v>
      </c>
      <c r="B151" s="6">
        <v>46003</v>
      </c>
      <c r="C151" s="3" t="s">
        <v>552</v>
      </c>
      <c r="D151" s="3" t="s">
        <v>553</v>
      </c>
      <c r="E151" s="3" t="s">
        <v>20</v>
      </c>
      <c r="F151" s="3">
        <v>1</v>
      </c>
      <c r="G151" s="4">
        <v>3338.53</v>
      </c>
      <c r="J151" s="3" t="s">
        <v>554</v>
      </c>
      <c r="K151" s="5">
        <v>53</v>
      </c>
      <c r="L151" s="8">
        <v>2.5000000000000001E-2</v>
      </c>
      <c r="M151" s="10">
        <f t="shared" si="2"/>
        <v>83.463250000000016</v>
      </c>
    </row>
    <row r="152" spans="1:13">
      <c r="A152" s="5">
        <v>12</v>
      </c>
      <c r="B152" s="6">
        <v>45994</v>
      </c>
      <c r="C152" s="3" t="s">
        <v>555</v>
      </c>
      <c r="D152" s="3" t="s">
        <v>556</v>
      </c>
      <c r="E152" s="3" t="s">
        <v>20</v>
      </c>
      <c r="F152" s="3">
        <v>1</v>
      </c>
      <c r="G152" s="4">
        <v>1048.68</v>
      </c>
      <c r="J152" s="3" t="s">
        <v>557</v>
      </c>
      <c r="K152" s="5">
        <v>54</v>
      </c>
      <c r="L152" s="8">
        <v>2.5000000000000001E-2</v>
      </c>
      <c r="M152" s="10">
        <f t="shared" si="2"/>
        <v>26.217000000000002</v>
      </c>
    </row>
    <row r="153" spans="1:13">
      <c r="A153" s="5">
        <v>11</v>
      </c>
      <c r="B153" s="6">
        <v>46002</v>
      </c>
      <c r="C153" s="3" t="s">
        <v>558</v>
      </c>
      <c r="D153" s="3" t="s">
        <v>559</v>
      </c>
      <c r="E153" s="3" t="s">
        <v>20</v>
      </c>
      <c r="F153" s="3">
        <v>1</v>
      </c>
      <c r="G153" s="4">
        <v>16514.400000000001</v>
      </c>
      <c r="I153" s="3">
        <v>2</v>
      </c>
      <c r="J153" s="3" t="s">
        <v>560</v>
      </c>
      <c r="K153" s="5">
        <v>54</v>
      </c>
      <c r="L153" s="8">
        <v>2.5000000000000001E-2</v>
      </c>
      <c r="M153" s="10">
        <f t="shared" si="2"/>
        <v>412.86000000000007</v>
      </c>
    </row>
    <row r="154" spans="1:13">
      <c r="A154" s="5">
        <v>21</v>
      </c>
      <c r="B154" s="6">
        <v>46002</v>
      </c>
      <c r="C154" s="3" t="s">
        <v>561</v>
      </c>
      <c r="D154" s="3" t="s">
        <v>562</v>
      </c>
      <c r="E154" s="3" t="s">
        <v>20</v>
      </c>
      <c r="F154" s="3">
        <v>1</v>
      </c>
      <c r="G154" s="4">
        <v>5965.59</v>
      </c>
      <c r="J154" s="3" t="s">
        <v>563</v>
      </c>
      <c r="K154" s="5">
        <v>54</v>
      </c>
      <c r="L154" s="8">
        <v>2.5000000000000001E-2</v>
      </c>
      <c r="M154" s="10">
        <f t="shared" si="2"/>
        <v>149.13975000000002</v>
      </c>
    </row>
    <row r="155" spans="1:13">
      <c r="A155" s="5">
        <v>22</v>
      </c>
      <c r="B155" s="6">
        <v>46009</v>
      </c>
      <c r="C155" s="3" t="s">
        <v>564</v>
      </c>
      <c r="D155" s="3" t="s">
        <v>565</v>
      </c>
      <c r="E155" s="3" t="s">
        <v>566</v>
      </c>
      <c r="F155" s="3">
        <v>16</v>
      </c>
      <c r="G155" s="4">
        <v>847.59</v>
      </c>
      <c r="I155" s="3">
        <v>2</v>
      </c>
      <c r="J155" s="3" t="s">
        <v>567</v>
      </c>
      <c r="K155" s="5">
        <v>59</v>
      </c>
      <c r="L155" s="8">
        <v>2.5000000000000001E-2</v>
      </c>
      <c r="M155" s="10">
        <f t="shared" si="2"/>
        <v>21.189750000000004</v>
      </c>
    </row>
    <row r="156" spans="1:13">
      <c r="A156" s="5">
        <v>13</v>
      </c>
      <c r="B156" s="6">
        <v>46000</v>
      </c>
      <c r="C156" s="3" t="s">
        <v>568</v>
      </c>
      <c r="D156" s="3" t="s">
        <v>569</v>
      </c>
      <c r="E156" s="3" t="s">
        <v>20</v>
      </c>
      <c r="F156" s="3">
        <v>1</v>
      </c>
      <c r="G156" s="4">
        <v>1100.9100000000001</v>
      </c>
      <c r="I156" s="3" t="s">
        <v>570</v>
      </c>
      <c r="J156" s="3" t="s">
        <v>571</v>
      </c>
      <c r="K156" s="5">
        <v>60</v>
      </c>
      <c r="L156" s="8">
        <v>2.5000000000000001E-2</v>
      </c>
      <c r="M156" s="10">
        <f t="shared" si="2"/>
        <v>27.522750000000002</v>
      </c>
    </row>
    <row r="157" spans="1:13">
      <c r="A157" s="5">
        <v>19</v>
      </c>
      <c r="B157" s="6">
        <v>46009</v>
      </c>
      <c r="C157" s="3" t="s">
        <v>572</v>
      </c>
      <c r="D157" s="3" t="s">
        <v>573</v>
      </c>
      <c r="E157" s="3" t="s">
        <v>20</v>
      </c>
      <c r="F157" s="3">
        <v>1</v>
      </c>
      <c r="G157" s="4">
        <v>7459.1</v>
      </c>
      <c r="I157" s="3">
        <v>4</v>
      </c>
      <c r="J157" s="3" t="s">
        <v>574</v>
      </c>
      <c r="K157" s="5">
        <v>61</v>
      </c>
      <c r="L157" s="9">
        <v>0.05</v>
      </c>
      <c r="M157" s="10">
        <f t="shared" si="2"/>
        <v>372.95500000000004</v>
      </c>
    </row>
    <row r="158" spans="1:13">
      <c r="A158" s="5">
        <v>14</v>
      </c>
      <c r="B158" s="6">
        <v>45993</v>
      </c>
      <c r="C158" s="3" t="s">
        <v>575</v>
      </c>
      <c r="D158" s="3" t="s">
        <v>576</v>
      </c>
      <c r="E158" s="3" t="s">
        <v>577</v>
      </c>
      <c r="F158" s="3" t="s">
        <v>530</v>
      </c>
      <c r="G158" s="4">
        <v>2098.5500000000002</v>
      </c>
      <c r="I158" s="3">
        <v>2</v>
      </c>
      <c r="J158" s="3" t="s">
        <v>578</v>
      </c>
      <c r="K158" s="5">
        <v>62</v>
      </c>
      <c r="L158" s="9">
        <v>0.05</v>
      </c>
      <c r="M158" s="10">
        <f t="shared" si="2"/>
        <v>104.92750000000001</v>
      </c>
    </row>
    <row r="159" spans="1:13">
      <c r="B159" s="6">
        <v>45996</v>
      </c>
      <c r="C159" s="3" t="s">
        <v>579</v>
      </c>
      <c r="D159" s="3" t="s">
        <v>580</v>
      </c>
      <c r="E159" s="3" t="s">
        <v>20</v>
      </c>
      <c r="F159" s="3">
        <v>1</v>
      </c>
      <c r="G159" s="4">
        <v>886.92</v>
      </c>
      <c r="J159" s="3" t="s">
        <v>581</v>
      </c>
      <c r="K159" s="5">
        <v>63</v>
      </c>
      <c r="L159" s="9">
        <v>0.05</v>
      </c>
      <c r="M159" s="10">
        <f t="shared" si="2"/>
        <v>44.346000000000004</v>
      </c>
    </row>
    <row r="160" spans="1:13">
      <c r="A160" s="5">
        <v>29</v>
      </c>
      <c r="B160" s="6">
        <v>46009</v>
      </c>
      <c r="C160" s="3" t="s">
        <v>582</v>
      </c>
      <c r="D160" s="3" t="s">
        <v>583</v>
      </c>
      <c r="E160" s="3" t="s">
        <v>584</v>
      </c>
      <c r="F160" s="3" t="s">
        <v>585</v>
      </c>
      <c r="G160" s="4">
        <v>22590.22</v>
      </c>
      <c r="I160" s="3">
        <v>2</v>
      </c>
      <c r="J160" s="3" t="s">
        <v>586</v>
      </c>
      <c r="K160" s="5">
        <v>65</v>
      </c>
      <c r="L160" s="9">
        <v>0.05</v>
      </c>
      <c r="M160" s="10">
        <f t="shared" si="2"/>
        <v>1129.5110000000002</v>
      </c>
    </row>
    <row r="161" spans="1:13">
      <c r="A161" s="5">
        <v>14</v>
      </c>
      <c r="B161" s="6">
        <v>46009</v>
      </c>
      <c r="C161" s="3" t="s">
        <v>587</v>
      </c>
      <c r="D161" s="3" t="s">
        <v>588</v>
      </c>
      <c r="E161" s="3" t="s">
        <v>589</v>
      </c>
      <c r="F161" s="3" t="s">
        <v>590</v>
      </c>
      <c r="G161" s="4">
        <v>23981.82</v>
      </c>
      <c r="I161" s="3" t="s">
        <v>281</v>
      </c>
      <c r="J161" s="3" t="s">
        <v>591</v>
      </c>
      <c r="K161" s="5">
        <v>69</v>
      </c>
      <c r="L161" s="9">
        <v>0.05</v>
      </c>
      <c r="M161" s="10">
        <f t="shared" si="2"/>
        <v>1199.0910000000001</v>
      </c>
    </row>
    <row r="162" spans="1:13">
      <c r="A162" s="5">
        <v>34</v>
      </c>
      <c r="B162" s="6">
        <v>46002</v>
      </c>
      <c r="C162" s="3" t="s">
        <v>592</v>
      </c>
      <c r="D162" s="3" t="s">
        <v>593</v>
      </c>
      <c r="E162" s="3" t="s">
        <v>594</v>
      </c>
      <c r="F162" s="3" t="s">
        <v>595</v>
      </c>
      <c r="G162" s="4">
        <v>19295.96</v>
      </c>
      <c r="I162" s="3" t="s">
        <v>570</v>
      </c>
      <c r="J162" s="3" t="s">
        <v>596</v>
      </c>
      <c r="K162" s="5">
        <v>71</v>
      </c>
      <c r="L162" s="9">
        <v>0.05</v>
      </c>
      <c r="M162" s="10">
        <f t="shared" si="2"/>
        <v>964.798</v>
      </c>
    </row>
    <row r="163" spans="1:13">
      <c r="A163" s="5">
        <v>35</v>
      </c>
      <c r="B163" s="6">
        <v>46013</v>
      </c>
      <c r="C163" s="3" t="s">
        <v>597</v>
      </c>
      <c r="D163" s="3" t="s">
        <v>598</v>
      </c>
      <c r="E163" s="3" t="s">
        <v>20</v>
      </c>
      <c r="F163" s="3">
        <v>1</v>
      </c>
      <c r="G163" s="4">
        <v>141.38</v>
      </c>
      <c r="J163" s="3" t="s">
        <v>599</v>
      </c>
      <c r="K163" s="5">
        <v>73</v>
      </c>
      <c r="L163" s="9">
        <v>0.05</v>
      </c>
      <c r="M163" s="10">
        <f t="shared" si="2"/>
        <v>7.069</v>
      </c>
    </row>
    <row r="164" spans="1:13">
      <c r="A164" s="5">
        <v>19</v>
      </c>
      <c r="B164" s="6">
        <v>46021</v>
      </c>
      <c r="C164" s="3" t="s">
        <v>600</v>
      </c>
      <c r="D164" s="3" t="s">
        <v>601</v>
      </c>
      <c r="E164" s="3" t="s">
        <v>602</v>
      </c>
      <c r="F164" s="3">
        <v>2</v>
      </c>
      <c r="G164" s="4">
        <v>66930.38</v>
      </c>
      <c r="I164" s="3" t="s">
        <v>16</v>
      </c>
      <c r="J164" s="3" t="s">
        <v>603</v>
      </c>
      <c r="K164" s="5">
        <v>76</v>
      </c>
      <c r="L164" s="9">
        <v>0.05</v>
      </c>
      <c r="M164" s="10">
        <f t="shared" si="2"/>
        <v>3346.5190000000002</v>
      </c>
    </row>
    <row r="165" spans="1:13">
      <c r="A165" s="5">
        <v>11</v>
      </c>
      <c r="B165" s="6">
        <v>46020</v>
      </c>
      <c r="C165" s="3" t="s">
        <v>604</v>
      </c>
      <c r="D165" s="3" t="s">
        <v>605</v>
      </c>
      <c r="E165" s="3" t="s">
        <v>606</v>
      </c>
      <c r="F165" s="3">
        <v>7</v>
      </c>
      <c r="G165" s="4">
        <v>172.70999999999998</v>
      </c>
      <c r="I165" s="3">
        <v>4</v>
      </c>
      <c r="J165" s="3" t="s">
        <v>607</v>
      </c>
      <c r="K165" s="5">
        <v>78</v>
      </c>
      <c r="L165" s="9">
        <v>0.05</v>
      </c>
      <c r="M165" s="10">
        <f t="shared" si="2"/>
        <v>8.6354999999999986</v>
      </c>
    </row>
    <row r="166" spans="1:13">
      <c r="A166" s="5">
        <v>21</v>
      </c>
      <c r="B166" s="6">
        <v>46020</v>
      </c>
      <c r="C166" s="3" t="s">
        <v>608</v>
      </c>
      <c r="D166" s="3" t="s">
        <v>609</v>
      </c>
      <c r="E166" s="3" t="s">
        <v>610</v>
      </c>
      <c r="F166" s="3" t="s">
        <v>611</v>
      </c>
      <c r="G166" s="4">
        <v>379.68</v>
      </c>
      <c r="I166" s="3" t="s">
        <v>16</v>
      </c>
      <c r="J166" s="3" t="s">
        <v>612</v>
      </c>
      <c r="K166" s="5">
        <v>80</v>
      </c>
      <c r="L166" s="9">
        <v>0.05</v>
      </c>
      <c r="M166" s="10">
        <f t="shared" si="2"/>
        <v>18.984000000000002</v>
      </c>
    </row>
    <row r="167" spans="1:13">
      <c r="A167" s="5">
        <v>11</v>
      </c>
      <c r="B167" s="6">
        <v>46014</v>
      </c>
      <c r="C167" s="3" t="s">
        <v>613</v>
      </c>
      <c r="D167" s="3" t="s">
        <v>614</v>
      </c>
      <c r="E167" s="3" t="s">
        <v>615</v>
      </c>
      <c r="F167" s="3">
        <v>1</v>
      </c>
      <c r="G167" s="4">
        <v>46039.01</v>
      </c>
      <c r="I167" s="3">
        <v>1</v>
      </c>
      <c r="J167" s="3" t="s">
        <v>616</v>
      </c>
      <c r="K167" s="5">
        <v>83</v>
      </c>
      <c r="L167" s="9">
        <v>0.05</v>
      </c>
      <c r="M167" s="10">
        <f t="shared" si="2"/>
        <v>2301.9505000000004</v>
      </c>
    </row>
    <row r="168" spans="1:13">
      <c r="A168" s="5">
        <v>11</v>
      </c>
      <c r="B168" s="6">
        <v>46009</v>
      </c>
      <c r="C168" s="3" t="s">
        <v>617</v>
      </c>
      <c r="D168" s="3" t="s">
        <v>618</v>
      </c>
      <c r="E168" s="3" t="s">
        <v>20</v>
      </c>
      <c r="F168" s="3">
        <v>1</v>
      </c>
      <c r="G168" s="4">
        <v>20617.5</v>
      </c>
      <c r="I168" s="3" t="s">
        <v>281</v>
      </c>
      <c r="J168" s="3" t="s">
        <v>619</v>
      </c>
      <c r="K168" s="5">
        <v>86</v>
      </c>
      <c r="L168" s="9">
        <v>0.05</v>
      </c>
      <c r="M168" s="10">
        <f t="shared" si="2"/>
        <v>1030.875</v>
      </c>
    </row>
    <row r="169" spans="1:13">
      <c r="A169" s="5">
        <v>19</v>
      </c>
      <c r="B169" s="6">
        <v>46006</v>
      </c>
      <c r="C169" s="3" t="s">
        <v>620</v>
      </c>
      <c r="D169" s="3" t="s">
        <v>621</v>
      </c>
      <c r="E169" s="3" t="s">
        <v>20</v>
      </c>
      <c r="F169" s="3">
        <v>1</v>
      </c>
      <c r="G169" s="4">
        <v>601.14</v>
      </c>
      <c r="J169" s="3" t="s">
        <v>622</v>
      </c>
      <c r="K169" s="5">
        <v>91</v>
      </c>
      <c r="L169" s="9">
        <v>0.06</v>
      </c>
      <c r="M169" s="10">
        <f t="shared" si="2"/>
        <v>36.068399999999997</v>
      </c>
    </row>
    <row r="170" spans="1:13">
      <c r="A170" s="5">
        <v>25</v>
      </c>
      <c r="B170" s="6">
        <v>46009</v>
      </c>
      <c r="C170" s="3" t="s">
        <v>623</v>
      </c>
      <c r="D170" s="3" t="s">
        <v>624</v>
      </c>
      <c r="E170" s="3" t="s">
        <v>20</v>
      </c>
      <c r="F170" s="3">
        <v>1</v>
      </c>
      <c r="G170" s="4">
        <v>1220.31</v>
      </c>
      <c r="J170" s="3" t="s">
        <v>625</v>
      </c>
      <c r="K170" s="5">
        <v>91</v>
      </c>
      <c r="L170" s="9">
        <v>0.06</v>
      </c>
      <c r="M170" s="10">
        <f t="shared" si="2"/>
        <v>73.218599999999995</v>
      </c>
    </row>
    <row r="171" spans="1:13">
      <c r="A171" s="5">
        <v>14</v>
      </c>
      <c r="B171" s="6">
        <v>45999</v>
      </c>
      <c r="C171" s="3" t="s">
        <v>626</v>
      </c>
      <c r="D171" s="3" t="s">
        <v>627</v>
      </c>
      <c r="E171" s="3" t="s">
        <v>628</v>
      </c>
      <c r="F171" s="3" t="s">
        <v>629</v>
      </c>
      <c r="G171" s="4">
        <v>1088.19</v>
      </c>
      <c r="I171" s="3">
        <v>2</v>
      </c>
      <c r="J171" s="3" t="s">
        <v>630</v>
      </c>
      <c r="K171" s="5">
        <v>94</v>
      </c>
      <c r="L171" s="9">
        <v>0.06</v>
      </c>
      <c r="M171" s="10">
        <f t="shared" si="2"/>
        <v>65.291399999999996</v>
      </c>
    </row>
    <row r="172" spans="1:13">
      <c r="A172" s="5">
        <v>31</v>
      </c>
      <c r="B172" s="6">
        <v>46013</v>
      </c>
      <c r="C172" s="3" t="s">
        <v>631</v>
      </c>
      <c r="D172" s="3" t="s">
        <v>632</v>
      </c>
      <c r="E172" s="3" t="s">
        <v>20</v>
      </c>
      <c r="F172" s="3">
        <v>1</v>
      </c>
      <c r="G172" s="4">
        <v>6433.38</v>
      </c>
      <c r="J172" s="3" t="s">
        <v>633</v>
      </c>
      <c r="K172" s="5">
        <v>100</v>
      </c>
      <c r="L172" s="9">
        <v>0.06</v>
      </c>
      <c r="M172" s="10">
        <f t="shared" si="2"/>
        <v>386.00279999999998</v>
      </c>
    </row>
    <row r="173" spans="1:13">
      <c r="A173" s="5">
        <v>22</v>
      </c>
      <c r="B173" s="6">
        <v>46015</v>
      </c>
      <c r="C173" s="3" t="s">
        <v>634</v>
      </c>
      <c r="D173" s="3" t="s">
        <v>635</v>
      </c>
      <c r="E173" s="3" t="s">
        <v>636</v>
      </c>
      <c r="F173" s="3" t="s">
        <v>504</v>
      </c>
      <c r="G173" s="4">
        <v>1252.68</v>
      </c>
      <c r="I173" s="3" t="s">
        <v>16</v>
      </c>
      <c r="J173" s="3" t="s">
        <v>637</v>
      </c>
      <c r="K173" s="5">
        <v>100</v>
      </c>
      <c r="L173" s="9">
        <v>0.06</v>
      </c>
      <c r="M173" s="10">
        <f t="shared" si="2"/>
        <v>75.160799999999995</v>
      </c>
    </row>
    <row r="174" spans="1:13">
      <c r="A174" s="5">
        <v>17</v>
      </c>
      <c r="B174" s="6">
        <v>46015</v>
      </c>
      <c r="C174" s="3" t="s">
        <v>638</v>
      </c>
      <c r="D174" s="3" t="s">
        <v>639</v>
      </c>
      <c r="E174" s="3" t="s">
        <v>640</v>
      </c>
      <c r="F174" s="3" t="s">
        <v>641</v>
      </c>
      <c r="G174" s="4">
        <v>283.91000000000003</v>
      </c>
      <c r="I174" s="3" t="s">
        <v>16</v>
      </c>
      <c r="J174" s="3" t="s">
        <v>642</v>
      </c>
      <c r="K174" s="5">
        <v>100</v>
      </c>
      <c r="L174" s="9">
        <v>0.06</v>
      </c>
      <c r="M174" s="10">
        <f t="shared" si="2"/>
        <v>17.034600000000001</v>
      </c>
    </row>
    <row r="175" spans="1:13">
      <c r="A175" s="5">
        <v>17</v>
      </c>
      <c r="B175" s="6">
        <v>45994</v>
      </c>
      <c r="C175" s="3" t="s">
        <v>643</v>
      </c>
      <c r="D175" s="3" t="s">
        <v>644</v>
      </c>
      <c r="E175" s="3" t="s">
        <v>20</v>
      </c>
      <c r="F175" s="3">
        <v>1</v>
      </c>
      <c r="G175" s="4">
        <v>1788</v>
      </c>
      <c r="J175" s="3" t="s">
        <v>645</v>
      </c>
      <c r="K175" s="5">
        <v>102</v>
      </c>
      <c r="L175" s="9">
        <v>0.06</v>
      </c>
      <c r="M175" s="10">
        <f t="shared" si="2"/>
        <v>107.28</v>
      </c>
    </row>
    <row r="176" spans="1:13">
      <c r="A176" s="5">
        <v>35</v>
      </c>
      <c r="B176" s="6">
        <v>46002</v>
      </c>
      <c r="C176" s="3" t="s">
        <v>646</v>
      </c>
      <c r="D176" s="3" t="s">
        <v>647</v>
      </c>
      <c r="E176" s="3" t="s">
        <v>648</v>
      </c>
      <c r="F176" s="3" t="s">
        <v>649</v>
      </c>
      <c r="G176" s="4">
        <v>2370.2600000000002</v>
      </c>
      <c r="I176" s="3" t="s">
        <v>16</v>
      </c>
      <c r="J176" s="3" t="s">
        <v>650</v>
      </c>
      <c r="K176" s="5">
        <v>105</v>
      </c>
      <c r="L176" s="9">
        <v>0.06</v>
      </c>
      <c r="M176" s="10">
        <f t="shared" si="2"/>
        <v>142.21559999999999</v>
      </c>
    </row>
  </sheetData>
  <autoFilter ref="A2:K177" xr:uid="{00000000-0009-0000-0000-000000000000}">
    <sortState xmlns:xlrd2="http://schemas.microsoft.com/office/spreadsheetml/2017/richdata2" ref="A3:K176">
      <sortCondition ref="K2:K177"/>
    </sortState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Classificação da informação: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Victor Moreira Yamanari</dc:creator>
  <cp:keywords/>
  <dc:description/>
  <cp:lastModifiedBy>3953cobranca@nefadv.com.br</cp:lastModifiedBy>
  <cp:revision/>
  <dcterms:created xsi:type="dcterms:W3CDTF">2026-01-05T19:24:38Z</dcterms:created>
  <dcterms:modified xsi:type="dcterms:W3CDTF">2026-01-16T16:14:27Z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deea41-824f-4c3c-afd5-7afdfc16eee8_Enabled">
    <vt:lpwstr>true</vt:lpwstr>
  </property>
  <property fmtid="{D5CDD505-2E9C-101B-9397-08002B2CF9AE}" pid="3" name="MSIP_Label_99deea41-824f-4c3c-afd5-7afdfc16eee8_SetDate">
    <vt:lpwstr>2026-01-12T14:12:24Z</vt:lpwstr>
  </property>
  <property fmtid="{D5CDD505-2E9C-101B-9397-08002B2CF9AE}" pid="4" name="MSIP_Label_99deea41-824f-4c3c-afd5-7afdfc16eee8_Method">
    <vt:lpwstr>Standard</vt:lpwstr>
  </property>
  <property fmtid="{D5CDD505-2E9C-101B-9397-08002B2CF9AE}" pid="5" name="MSIP_Label_99deea41-824f-4c3c-afd5-7afdfc16eee8_Name">
    <vt:lpwstr>99deea41-824f-4c3c-afd5-7afdfc16eee8</vt:lpwstr>
  </property>
  <property fmtid="{D5CDD505-2E9C-101B-9397-08002B2CF9AE}" pid="6" name="MSIP_Label_99deea41-824f-4c3c-afd5-7afdfc16eee8_SiteId">
    <vt:lpwstr>3223964c-6e1f-48ba-b705-423351281a8c</vt:lpwstr>
  </property>
  <property fmtid="{D5CDD505-2E9C-101B-9397-08002B2CF9AE}" pid="7" name="MSIP_Label_99deea41-824f-4c3c-afd5-7afdfc16eee8_ActionId">
    <vt:lpwstr>5e76f806-63c1-4db1-b987-8d500fe229ef</vt:lpwstr>
  </property>
  <property fmtid="{D5CDD505-2E9C-101B-9397-08002B2CF9AE}" pid="8" name="MSIP_Label_99deea41-824f-4c3c-afd5-7afdfc16eee8_ContentBits">
    <vt:lpwstr>2</vt:lpwstr>
  </property>
  <property fmtid="{D5CDD505-2E9C-101B-9397-08002B2CF9AE}" pid="9" name="MSIP_Label_99deea41-824f-4c3c-afd5-7afdfc16eee8_Tag">
    <vt:lpwstr>10, 3, 0, 1</vt:lpwstr>
  </property>
</Properties>
</file>